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ilter Asset Registry" sheetId="2" state="visible" r:id="rId4"/>
    <sheet name="DOP-PAO Test Records" sheetId="3" state="visible" r:id="rId5"/>
    <sheet name="Leak Detection Records" sheetId="4" state="visible" r:id="rId6"/>
    <sheet name="Replacement Records" sheetId="5" state="visible" r:id="rId7"/>
    <sheet name="Compliance Dashboard" sheetId="6" state="visible" r:id="rId8"/>
    <sheet name="SAP Integration Mapping" sheetId="7" state="visible" r:id="rId9"/>
    <sheet name="Document Lifecycle Mgm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<sst xmlns="http://schemas.openxmlformats.org/spreadsheetml/2006/main" count="891" uniqueCount="375">
  <si>
    <t xml:space="preserve">HEPA Filter Compliance — Sample Dataset</t>
  </si>
  <si>
    <t xml:space="preserve">Jubilant HollisterStier — Spokane, WA sterile fill-finish facility (illustrative demo data)</t>
  </si>
  <si>
    <t xml:space="preserve">Purpose</t>
  </si>
  <si>
    <t xml:space="preserve">This workbook is a SAMPLE / DEMO dataset only. All facility names, filter IDs, technician names, serial numbers, and readings are illustrative and do not represent actual production or compliance data.</t>
  </si>
  <si>
    <t xml:space="preserve">It is structured to mirror the data model in the HEPA Technical Implementation Guide and the Client Focus Brief, so it can be imported directly into an Oxmaint demo environment or used as a walkthrough script.</t>
  </si>
  <si>
    <t xml:space="preserve">Sheets</t>
  </si>
  <si>
    <t xml:space="preserve">1. Filter Asset Registry — cleanroom + filter master data (ISO class, location, install date, test interval, status)</t>
  </si>
  <si>
    <t xml:space="preserve">2. DOP-PAO Test Records — integrity test results per filter, with pass/fail computed against the 0.01% penetration threshold</t>
  </si>
  <si>
    <t xml:space="preserve">3. Leak Detection Records — periodic pressure differential / leak readings per filter, with threshold-breach flag</t>
  </si>
  <si>
    <t xml:space="preserve">4. Replacement Records — filter change chain-of-custody: serials, supplier cert, pre/post validation, recert status</t>
  </si>
  <si>
    <t xml:space="preserve">5. Compliance Dashboard — roll-up metrics computed with formulas from the four data sheets (test currency, pass rate, overdue count, audit-readiness)</t>
  </si>
  <si>
    <t xml:space="preserve">6. SAP Integration Mapping — illustrative Oxmaint-to-SAP equipment/work order mapping and sync status (Focus Area: SAP / CMMS integration)</t>
  </si>
  <si>
    <t xml:space="preserve">7. Document Lifecycle Mgmt — workflow routing, review/approval, e-signature, audit trail, retention, and notification status per document (Focus Area: document lifecycle management)</t>
  </si>
  <si>
    <t xml:space="preserve">Conventions</t>
  </si>
  <si>
    <t xml:space="preserve">Black text = formula-derived value. Blue text = editable/hardcoded sample input. Yellow fill = key threshold or assumption cell.</t>
  </si>
  <si>
    <t xml:space="preserve">Cleanrooms modeled: CR-101/102 (ISO 5, sterile fill lines), CR-204/205 (ISO 7, lyophilization suites), CR-310 (ISO 8, gowning/support area).</t>
  </si>
  <si>
    <t xml:space="preserve">Filter Asset Registry</t>
  </si>
  <si>
    <t xml:space="preserve">Master list of registered HEPA filters by cleanroom</t>
  </si>
  <si>
    <t xml:space="preserve">Filter ID</t>
  </si>
  <si>
    <t xml:space="preserve">Cleanroom ID</t>
  </si>
  <si>
    <t xml:space="preserve">Cleanroom Name</t>
  </si>
  <si>
    <t xml:space="preserve">ISO Class</t>
  </si>
  <si>
    <t xml:space="preserve">Location QR Code</t>
  </si>
  <si>
    <t xml:space="preserve">Install Date</t>
  </si>
  <si>
    <t xml:space="preserve">Filter Age (days)</t>
  </si>
  <si>
    <t xml:space="preserve">Test Interval</t>
  </si>
  <si>
    <t xml:space="preserve">Current Status</t>
  </si>
  <si>
    <t xml:space="preserve">HF-2001</t>
  </si>
  <si>
    <t xml:space="preserve">CR-101</t>
  </si>
  <si>
    <t xml:space="preserve">Sterile Fill Line 1</t>
  </si>
  <si>
    <t xml:space="preserve">ISO 5</t>
  </si>
  <si>
    <t xml:space="preserve">QR-HF-2001</t>
  </si>
  <si>
    <t xml:space="preserve">Quarterly</t>
  </si>
  <si>
    <t xml:space="preserve">Active</t>
  </si>
  <si>
    <t xml:space="preserve">HF-2002</t>
  </si>
  <si>
    <t xml:space="preserve">CR-102</t>
  </si>
  <si>
    <t xml:space="preserve">Sterile Fill Line 2</t>
  </si>
  <si>
    <t xml:space="preserve">QR-HF-2002</t>
  </si>
  <si>
    <t xml:space="preserve">HF-2003</t>
  </si>
  <si>
    <t xml:space="preserve">CR-204</t>
  </si>
  <si>
    <t xml:space="preserve">Lyophilization Suite A</t>
  </si>
  <si>
    <t xml:space="preserve">ISO 7</t>
  </si>
  <si>
    <t xml:space="preserve">QR-HF-2003</t>
  </si>
  <si>
    <t xml:space="preserve">Semi-Annual</t>
  </si>
  <si>
    <t xml:space="preserve">HF-2004</t>
  </si>
  <si>
    <t xml:space="preserve">CR-205</t>
  </si>
  <si>
    <t xml:space="preserve">Lyophilization Suite B</t>
  </si>
  <si>
    <t xml:space="preserve">QR-HF-2004</t>
  </si>
  <si>
    <t xml:space="preserve">Flagged</t>
  </si>
  <si>
    <t xml:space="preserve">HF-2005</t>
  </si>
  <si>
    <t xml:space="preserve">CR-310</t>
  </si>
  <si>
    <t xml:space="preserve">Gowning / Support Area</t>
  </si>
  <si>
    <t xml:space="preserve">ISO 8</t>
  </si>
  <si>
    <t xml:space="preserve">QR-HF-2005</t>
  </si>
  <si>
    <t xml:space="preserve">HF-2006</t>
  </si>
  <si>
    <t xml:space="preserve">QR-HF-2006</t>
  </si>
  <si>
    <t xml:space="preserve">Pending Replacement</t>
  </si>
  <si>
    <t xml:space="preserve">HF-2007</t>
  </si>
  <si>
    <t xml:space="preserve">QR-HF-2007</t>
  </si>
  <si>
    <t xml:space="preserve">HF-2008</t>
  </si>
  <si>
    <t xml:space="preserve">QR-HF-2008</t>
  </si>
  <si>
    <t xml:space="preserve">HF-2009</t>
  </si>
  <si>
    <t xml:space="preserve">QR-HF-2009</t>
  </si>
  <si>
    <t xml:space="preserve">HF-2010</t>
  </si>
  <si>
    <t xml:space="preserve">QR-HF-2010</t>
  </si>
  <si>
    <t xml:space="preserve">HF-2011</t>
  </si>
  <si>
    <t xml:space="preserve">QR-HF-2011</t>
  </si>
  <si>
    <t xml:space="preserve">HF-2012</t>
  </si>
  <si>
    <t xml:space="preserve">QR-HF-2012</t>
  </si>
  <si>
    <t xml:space="preserve">HF-2013</t>
  </si>
  <si>
    <t xml:space="preserve">QR-HF-2013</t>
  </si>
  <si>
    <t xml:space="preserve">HF-2014</t>
  </si>
  <si>
    <t xml:space="preserve">QR-HF-2014</t>
  </si>
  <si>
    <t xml:space="preserve">HF-2015</t>
  </si>
  <si>
    <t xml:space="preserve">QR-HF-2015</t>
  </si>
  <si>
    <t xml:space="preserve">HF-2016</t>
  </si>
  <si>
    <t xml:space="preserve">QR-HF-2016</t>
  </si>
  <si>
    <t xml:space="preserve">HF-2017</t>
  </si>
  <si>
    <t xml:space="preserve">QR-HF-2017</t>
  </si>
  <si>
    <t xml:space="preserve">HF-2018</t>
  </si>
  <si>
    <t xml:space="preserve">QR-HF-2018</t>
  </si>
  <si>
    <t xml:space="preserve">DOP-PAO Integrity Test Records</t>
  </si>
  <si>
    <t xml:space="preserve">Pass/Fail computed against ISO 14644 Annex D threshold (&lt;= 0.01% penetration)</t>
  </si>
  <si>
    <t xml:space="preserve">Threshold (max penetration %):</t>
  </si>
  <si>
    <t xml:space="preserve">Test ID</t>
  </si>
  <si>
    <t xml:space="preserve">Test Date</t>
  </si>
  <si>
    <t xml:space="preserve">Test Points</t>
  </si>
  <si>
    <t xml:space="preserve">Penetration (%)</t>
  </si>
  <si>
    <t xml:space="preserve">Pass/Fail</t>
  </si>
  <si>
    <t xml:space="preserve">Technician ID</t>
  </si>
  <si>
    <t xml:space="preserve">Technician Name</t>
  </si>
  <si>
    <t xml:space="preserve">Record Lock Status</t>
  </si>
  <si>
    <t xml:space="preserve">DT-3001</t>
  </si>
  <si>
    <t xml:space="preserve">T-102</t>
  </si>
  <si>
    <t xml:space="preserve">J. Okafor</t>
  </si>
  <si>
    <t xml:space="preserve">DT-3002</t>
  </si>
  <si>
    <t xml:space="preserve">T-103</t>
  </si>
  <si>
    <t xml:space="preserve">R. Kim</t>
  </si>
  <si>
    <t xml:space="preserve">DT-3003</t>
  </si>
  <si>
    <t xml:space="preserve">T-104</t>
  </si>
  <si>
    <t xml:space="preserve">S. Whitfield</t>
  </si>
  <si>
    <t xml:space="preserve">DT-3004</t>
  </si>
  <si>
    <t xml:space="preserve">T-101</t>
  </si>
  <si>
    <t xml:space="preserve">M. Alvarez</t>
  </si>
  <si>
    <t xml:space="preserve">DT-3005</t>
  </si>
  <si>
    <t xml:space="preserve">DT-3006</t>
  </si>
  <si>
    <t xml:space="preserve">DT-3007</t>
  </si>
  <si>
    <t xml:space="preserve">DT-3008</t>
  </si>
  <si>
    <t xml:space="preserve">DT-3009</t>
  </si>
  <si>
    <t xml:space="preserve">DT-3010</t>
  </si>
  <si>
    <t xml:space="preserve">DT-3011</t>
  </si>
  <si>
    <t xml:space="preserve">DT-3012</t>
  </si>
  <si>
    <t xml:space="preserve">DT-3013</t>
  </si>
  <si>
    <t xml:space="preserve">DT-3014</t>
  </si>
  <si>
    <t xml:space="preserve">DT-3015</t>
  </si>
  <si>
    <t xml:space="preserve">DT-3016</t>
  </si>
  <si>
    <t xml:space="preserve">DT-3017</t>
  </si>
  <si>
    <t xml:space="preserve">DT-3018</t>
  </si>
  <si>
    <t xml:space="preserve">DT-3019</t>
  </si>
  <si>
    <t xml:space="preserve">DT-3020</t>
  </si>
  <si>
    <t xml:space="preserve">DT-3021</t>
  </si>
  <si>
    <t xml:space="preserve">DT-3022</t>
  </si>
  <si>
    <t xml:space="preserve">DT-3023</t>
  </si>
  <si>
    <t xml:space="preserve">DT-3024</t>
  </si>
  <si>
    <t xml:space="preserve">DT-3025</t>
  </si>
  <si>
    <t xml:space="preserve">DT-3026</t>
  </si>
  <si>
    <t xml:space="preserve">DT-3027</t>
  </si>
  <si>
    <t xml:space="preserve">DT-3028</t>
  </si>
  <si>
    <t xml:space="preserve">DT-3029</t>
  </si>
  <si>
    <t xml:space="preserve">DT-3030</t>
  </si>
  <si>
    <t xml:space="preserve">DT-3031</t>
  </si>
  <si>
    <t xml:space="preserve">DT-3032</t>
  </si>
  <si>
    <t xml:space="preserve">DT-3033</t>
  </si>
  <si>
    <t xml:space="preserve">DT-3034</t>
  </si>
  <si>
    <t xml:space="preserve">DT-3035</t>
  </si>
  <si>
    <t xml:space="preserve">DT-3036</t>
  </si>
  <si>
    <t xml:space="preserve">Leak Detection &amp; Pressure Monitoring Records</t>
  </si>
  <si>
    <t xml:space="preserve">Pressure differential trend per filter, per ISO 14644 Section 8 intervals</t>
  </si>
  <si>
    <t xml:space="preserve">Breach threshold (pressure differential, in. wg):</t>
  </si>
  <si>
    <t xml:space="preserve">Reading ID</t>
  </si>
  <si>
    <t xml:space="preserve">Reading Date</t>
  </si>
  <si>
    <t xml:space="preserve">Pressure Differential (in. wg)</t>
  </si>
  <si>
    <t xml:space="preserve">Reading Type</t>
  </si>
  <si>
    <t xml:space="preserve">Threshold Breach</t>
  </si>
  <si>
    <t xml:space="preserve">LR-4001</t>
  </si>
  <si>
    <t xml:space="preserve">Scheduled</t>
  </si>
  <si>
    <t xml:space="preserve">LR-4002</t>
  </si>
  <si>
    <t xml:space="preserve">LR-4003</t>
  </si>
  <si>
    <t xml:space="preserve">Alert-Triggered</t>
  </si>
  <si>
    <t xml:space="preserve">LR-4004</t>
  </si>
  <si>
    <t xml:space="preserve">LR-4005</t>
  </si>
  <si>
    <t xml:space="preserve">LR-4006</t>
  </si>
  <si>
    <t xml:space="preserve">LR-4007</t>
  </si>
  <si>
    <t xml:space="preserve">LR-4008</t>
  </si>
  <si>
    <t xml:space="preserve">LR-4009</t>
  </si>
  <si>
    <t xml:space="preserve">LR-4010</t>
  </si>
  <si>
    <t xml:space="preserve">LR-4011</t>
  </si>
  <si>
    <t xml:space="preserve">LR-4012</t>
  </si>
  <si>
    <t xml:space="preserve">LR-4013</t>
  </si>
  <si>
    <t xml:space="preserve">LR-4014</t>
  </si>
  <si>
    <t xml:space="preserve">LR-4015</t>
  </si>
  <si>
    <t xml:space="preserve">LR-4016</t>
  </si>
  <si>
    <t xml:space="preserve">LR-4017</t>
  </si>
  <si>
    <t xml:space="preserve">LR-4018</t>
  </si>
  <si>
    <t xml:space="preserve">LR-4019</t>
  </si>
  <si>
    <t xml:space="preserve">LR-4020</t>
  </si>
  <si>
    <t xml:space="preserve">LR-4021</t>
  </si>
  <si>
    <t xml:space="preserve">LR-4022</t>
  </si>
  <si>
    <t xml:space="preserve">LR-4023</t>
  </si>
  <si>
    <t xml:space="preserve">LR-4024</t>
  </si>
  <si>
    <t xml:space="preserve">LR-4025</t>
  </si>
  <si>
    <t xml:space="preserve">LR-4026</t>
  </si>
  <si>
    <t xml:space="preserve">LR-4027</t>
  </si>
  <si>
    <t xml:space="preserve">LR-4028</t>
  </si>
  <si>
    <t xml:space="preserve">LR-4029</t>
  </si>
  <si>
    <t xml:space="preserve">LR-4030</t>
  </si>
  <si>
    <t xml:space="preserve">LR-4031</t>
  </si>
  <si>
    <t xml:space="preserve">LR-4032</t>
  </si>
  <si>
    <t xml:space="preserve">LR-4033</t>
  </si>
  <si>
    <t xml:space="preserve">LR-4034</t>
  </si>
  <si>
    <t xml:space="preserve">LR-4035</t>
  </si>
  <si>
    <t xml:space="preserve">LR-4036</t>
  </si>
  <si>
    <t xml:space="preserve">LR-4037</t>
  </si>
  <si>
    <t xml:space="preserve">LR-4038</t>
  </si>
  <si>
    <t xml:space="preserve">LR-4039</t>
  </si>
  <si>
    <t xml:space="preserve">LR-4040</t>
  </si>
  <si>
    <t xml:space="preserve">LR-4041</t>
  </si>
  <si>
    <t xml:space="preserve">LR-4042</t>
  </si>
  <si>
    <t xml:space="preserve">LR-4043</t>
  </si>
  <si>
    <t xml:space="preserve">LR-4044</t>
  </si>
  <si>
    <t xml:space="preserve">LR-4045</t>
  </si>
  <si>
    <t xml:space="preserve">LR-4046</t>
  </si>
  <si>
    <t xml:space="preserve">LR-4047</t>
  </si>
  <si>
    <t xml:space="preserve">LR-4048</t>
  </si>
  <si>
    <t xml:space="preserve">LR-4049</t>
  </si>
  <si>
    <t xml:space="preserve">LR-4050</t>
  </si>
  <si>
    <t xml:space="preserve">LR-4051</t>
  </si>
  <si>
    <t xml:space="preserve">LR-4052</t>
  </si>
  <si>
    <t xml:space="preserve">LR-4053</t>
  </si>
  <si>
    <t xml:space="preserve">LR-4054</t>
  </si>
  <si>
    <t xml:space="preserve">Filter Replacement / Chain-of-Custody Records</t>
  </si>
  <si>
    <t xml:space="preserve">Pre/post validation must both be present before recertification unlocks</t>
  </si>
  <si>
    <t xml:space="preserve">Replacement ID</t>
  </si>
  <si>
    <t xml:space="preserve">Old Serial No</t>
  </si>
  <si>
    <t xml:space="preserve">New Serial No</t>
  </si>
  <si>
    <t xml:space="preserve">Supplier</t>
  </si>
  <si>
    <t xml:space="preserve">Supplier Cert Ref</t>
  </si>
  <si>
    <t xml:space="preserve">Pre-Validation Test ID</t>
  </si>
  <si>
    <t xml:space="preserve">Post-Validation Test ID</t>
  </si>
  <si>
    <t xml:space="preserve">Installation Date</t>
  </si>
  <si>
    <t xml:space="preserve">Recert Status</t>
  </si>
  <si>
    <t xml:space="preserve">RP-5001</t>
  </si>
  <si>
    <t xml:space="preserve">S-HF-2004-OLD</t>
  </si>
  <si>
    <t xml:space="preserve">S-HF-2004-NEW</t>
  </si>
  <si>
    <t xml:space="preserve">Camfil APC</t>
  </si>
  <si>
    <t xml:space="preserve">CERT-2025000</t>
  </si>
  <si>
    <t xml:space="preserve">RP-5002</t>
  </si>
  <si>
    <t xml:space="preserve">S-HF-2005-OLD</t>
  </si>
  <si>
    <t xml:space="preserve">S-HF-2005-NEW</t>
  </si>
  <si>
    <t xml:space="preserve">AAF International</t>
  </si>
  <si>
    <t xml:space="preserve">CERT-2025001</t>
  </si>
  <si>
    <t xml:space="preserve">RP-5003</t>
  </si>
  <si>
    <t xml:space="preserve">S-HF-2006-OLD</t>
  </si>
  <si>
    <t xml:space="preserve">S-HF-2006-NEW</t>
  </si>
  <si>
    <t xml:space="preserve">Donaldson Filtration</t>
  </si>
  <si>
    <t xml:space="preserve">CERT-2025002</t>
  </si>
  <si>
    <t xml:space="preserve">RP-5004</t>
  </si>
  <si>
    <t xml:space="preserve">S-HF-2007-OLD</t>
  </si>
  <si>
    <t xml:space="preserve">S-HF-2007-NEW</t>
  </si>
  <si>
    <t xml:space="preserve">Mann+Hummel</t>
  </si>
  <si>
    <t xml:space="preserve">CERT-2025003</t>
  </si>
  <si>
    <t xml:space="preserve">Compliance Dashboard</t>
  </si>
  <si>
    <t xml:space="preserve">Roll-up metrics computed from the four data sheets</t>
  </si>
  <si>
    <t xml:space="preserve">Metric</t>
  </si>
  <si>
    <t xml:space="preserve">Value</t>
  </si>
  <si>
    <t xml:space="preserve">Formula source</t>
  </si>
  <si>
    <t xml:space="preserve">Total registered filters</t>
  </si>
  <si>
    <t xml:space="preserve">Filters flagged or pending replacement</t>
  </si>
  <si>
    <t xml:space="preserve">Total DOP/PAO tests recorded</t>
  </si>
  <si>
    <t xml:space="preserve">DOP-PAO Test Records</t>
  </si>
  <si>
    <t xml:space="preserve">DOP/PAO pass rate</t>
  </si>
  <si>
    <t xml:space="preserve">Total leak detection readings</t>
  </si>
  <si>
    <t xml:space="preserve">Leak Detection Records</t>
  </si>
  <si>
    <t xml:space="preserve">Leak readings in breach</t>
  </si>
  <si>
    <t xml:space="preserve">Total replacement events</t>
  </si>
  <si>
    <t xml:space="preserve">Replacement Records</t>
  </si>
  <si>
    <t xml:space="preserve">Replacements blocked (awaiting validation)</t>
  </si>
  <si>
    <t xml:space="preserve">Audit readiness score (pass rate x no-breach rate)</t>
  </si>
  <si>
    <t xml:space="preserve">Computed</t>
  </si>
  <si>
    <t xml:space="preserve">SAP Integration Mapping</t>
  </si>
  <si>
    <t xml:space="preserve">Illustrative mapping between Oxmaint filter/compliance records and SAP Plant Maintenance (PM) objects</t>
  </si>
  <si>
    <t xml:space="preserve">Oxmaint Filter ID</t>
  </si>
  <si>
    <t xml:space="preserve">SAP Equipment ID</t>
  </si>
  <si>
    <t xml:space="preserve">SAP Functional Location</t>
  </si>
  <si>
    <t xml:space="preserve">SAP Work Order No.</t>
  </si>
  <si>
    <t xml:space="preserve">Work Order Type</t>
  </si>
  <si>
    <t xml:space="preserve">Sync Status</t>
  </si>
  <si>
    <t xml:space="preserve">Last Sync Timestamp</t>
  </si>
  <si>
    <t xml:space="preserve">Linked Document Ref (Oxmaint)</t>
  </si>
  <si>
    <t xml:space="preserve">101000</t>
  </si>
  <si>
    <t xml:space="preserve">US-SPK-CR100-HEPA-01</t>
  </si>
  <si>
    <t xml:space="preserve">40005000</t>
  </si>
  <si>
    <t xml:space="preserve">PM04 - Preventive (HEPA Test)</t>
  </si>
  <si>
    <t xml:space="preserve">Synced</t>
  </si>
  <si>
    <t xml:space="preserve">DOC-HF-2001</t>
  </si>
  <si>
    <t xml:space="preserve">101001</t>
  </si>
  <si>
    <t xml:space="preserve">US-SPK-CR101-HEPA-02</t>
  </si>
  <si>
    <t xml:space="preserve">40005001</t>
  </si>
  <si>
    <t xml:space="preserve">PM01 - Corrective</t>
  </si>
  <si>
    <t xml:space="preserve">DOC-HF-2002</t>
  </si>
  <si>
    <t xml:space="preserve">101002</t>
  </si>
  <si>
    <t xml:space="preserve">US-SPK-CR102-HEPA-03</t>
  </si>
  <si>
    <t xml:space="preserve">40005002</t>
  </si>
  <si>
    <t xml:space="preserve">PM04 - Preventive (Leak Check)</t>
  </si>
  <si>
    <t xml:space="preserve">DOC-HF-2003</t>
  </si>
  <si>
    <t xml:space="preserve">101003</t>
  </si>
  <si>
    <t xml:space="preserve">US-SPK-CR103-HEPA-04</t>
  </si>
  <si>
    <t xml:space="preserve">40005003</t>
  </si>
  <si>
    <t xml:space="preserve">PM02 - Replacement</t>
  </si>
  <si>
    <t xml:space="preserve">Pending</t>
  </si>
  <si>
    <t xml:space="preserve">DOC-HF-2004</t>
  </si>
  <si>
    <t xml:space="preserve">101004</t>
  </si>
  <si>
    <t xml:space="preserve">US-SPK-CR104-HEPA-05</t>
  </si>
  <si>
    <t xml:space="preserve">40005004</t>
  </si>
  <si>
    <t xml:space="preserve">Error - Retry Queued</t>
  </si>
  <si>
    <t xml:space="preserve">DOC-HF-2005</t>
  </si>
  <si>
    <t xml:space="preserve">101005</t>
  </si>
  <si>
    <t xml:space="preserve">US-SPK-CR100-HEPA-06</t>
  </si>
  <si>
    <t xml:space="preserve">40005005</t>
  </si>
  <si>
    <t xml:space="preserve">DOC-HF-2006</t>
  </si>
  <si>
    <t xml:space="preserve">101006</t>
  </si>
  <si>
    <t xml:space="preserve">US-SPK-CR101-HEPA-07</t>
  </si>
  <si>
    <t xml:space="preserve">40005006</t>
  </si>
  <si>
    <t xml:space="preserve">DOC-HF-2007</t>
  </si>
  <si>
    <t xml:space="preserve">101007</t>
  </si>
  <si>
    <t xml:space="preserve">US-SPK-CR102-HEPA-08</t>
  </si>
  <si>
    <t xml:space="preserve">40005007</t>
  </si>
  <si>
    <t xml:space="preserve">DOC-HF-2008</t>
  </si>
  <si>
    <t xml:space="preserve">101008</t>
  </si>
  <si>
    <t xml:space="preserve">US-SPK-CR103-HEPA-09</t>
  </si>
  <si>
    <t xml:space="preserve">40005008</t>
  </si>
  <si>
    <t xml:space="preserve">DOC-HF-2009</t>
  </si>
  <si>
    <t xml:space="preserve">101009</t>
  </si>
  <si>
    <t xml:space="preserve">US-SPK-CR104-HEPA-10</t>
  </si>
  <si>
    <t xml:space="preserve">40005009</t>
  </si>
  <si>
    <t xml:space="preserve">DOC-HF-2010</t>
  </si>
  <si>
    <t xml:space="preserve">101010</t>
  </si>
  <si>
    <t xml:space="preserve">US-SPK-CR100-HEPA-11</t>
  </si>
  <si>
    <t xml:space="preserve">40005010</t>
  </si>
  <si>
    <t xml:space="preserve">DOC-HF-2011</t>
  </si>
  <si>
    <t xml:space="preserve">101011</t>
  </si>
  <si>
    <t xml:space="preserve">US-SPK-CR101-HEPA-12</t>
  </si>
  <si>
    <t xml:space="preserve">40005011</t>
  </si>
  <si>
    <t xml:space="preserve">DOC-HF-2012</t>
  </si>
  <si>
    <t xml:space="preserve">101012</t>
  </si>
  <si>
    <t xml:space="preserve">US-SPK-CR102-HEPA-13</t>
  </si>
  <si>
    <t xml:space="preserve">40005012</t>
  </si>
  <si>
    <t xml:space="preserve">DOC-HF-2013</t>
  </si>
  <si>
    <t xml:space="preserve">101013</t>
  </si>
  <si>
    <t xml:space="preserve">US-SPK-CR103-HEPA-14</t>
  </si>
  <si>
    <t xml:space="preserve">40005013</t>
  </si>
  <si>
    <t xml:space="preserve">DOC-HF-2014</t>
  </si>
  <si>
    <t xml:space="preserve">101014</t>
  </si>
  <si>
    <t xml:space="preserve">US-SPK-CR104-HEPA-15</t>
  </si>
  <si>
    <t xml:space="preserve">40005014</t>
  </si>
  <si>
    <t xml:space="preserve">DOC-HF-2015</t>
  </si>
  <si>
    <t xml:space="preserve">101015</t>
  </si>
  <si>
    <t xml:space="preserve">US-SPK-CR100-HEPA-16</t>
  </si>
  <si>
    <t xml:space="preserve">40005015</t>
  </si>
  <si>
    <t xml:space="preserve">DOC-HF-2016</t>
  </si>
  <si>
    <t xml:space="preserve">101016</t>
  </si>
  <si>
    <t xml:space="preserve">US-SPK-CR101-HEPA-17</t>
  </si>
  <si>
    <t xml:space="preserve">40005016</t>
  </si>
  <si>
    <t xml:space="preserve">DOC-HF-2017</t>
  </si>
  <si>
    <t xml:space="preserve">101017</t>
  </si>
  <si>
    <t xml:space="preserve">US-SPK-CR102-HEPA-18</t>
  </si>
  <si>
    <t xml:space="preserve">40005017</t>
  </si>
  <si>
    <t xml:space="preserve">DOC-HF-2018</t>
  </si>
  <si>
    <t xml:space="preserve">Total mapped assets</t>
  </si>
  <si>
    <t xml:space="preserve">Records in sync error / pending</t>
  </si>
  <si>
    <t xml:space="preserve">HEPA Certification Document Lifecycle</t>
  </si>
  <si>
    <t xml:space="preserve">Workflow routing, review/approval, e-signature, audit trail, retention, and notification status per record</t>
  </si>
  <si>
    <t xml:space="preserve">Notification lead time (days before due date):</t>
  </si>
  <si>
    <t xml:space="preserve">Document Ref</t>
  </si>
  <si>
    <t xml:space="preserve">Related Record ID</t>
  </si>
  <si>
    <t xml:space="preserve">Record Type</t>
  </si>
  <si>
    <t xml:space="preserve">Lifecycle Stage</t>
  </si>
  <si>
    <t xml:space="preserve">Routed To (Role)</t>
  </si>
  <si>
    <t xml:space="preserve">Reviewer</t>
  </si>
  <si>
    <t xml:space="preserve">Approval Status</t>
  </si>
  <si>
    <t xml:space="preserve">E-Signature By</t>
  </si>
  <si>
    <t xml:space="preserve">E-Signature Timestamp</t>
  </si>
  <si>
    <t xml:space="preserve">Audit Trail Entries</t>
  </si>
  <si>
    <t xml:space="preserve">Retention Expiry Date</t>
  </si>
  <si>
    <t xml:space="preserve">Next Cert. Due Date</t>
  </si>
  <si>
    <t xml:space="preserve">Notification Status</t>
  </si>
  <si>
    <t xml:space="preserve">DOP-PAO Test</t>
  </si>
  <si>
    <t xml:space="preserve">Created</t>
  </si>
  <si>
    <t xml:space="preserve">Quality Reviewer</t>
  </si>
  <si>
    <t xml:space="preserve">A. Petrov</t>
  </si>
  <si>
    <t xml:space="preserve">Leak Detection</t>
  </si>
  <si>
    <t xml:space="preserve">Routed for Review</t>
  </si>
  <si>
    <t xml:space="preserve">Manufacturing Supervisor</t>
  </si>
  <si>
    <t xml:space="preserve">L. Nguyen</t>
  </si>
  <si>
    <t xml:space="preserve">Replacement</t>
  </si>
  <si>
    <t xml:space="preserve">Under Review</t>
  </si>
  <si>
    <t xml:space="preserve">D. Castillo</t>
  </si>
  <si>
    <t xml:space="preserve">Approved - Signed</t>
  </si>
  <si>
    <t xml:space="preserve">Site Quality Lead</t>
  </si>
  <si>
    <t xml:space="preserve">Approved</t>
  </si>
  <si>
    <t xml:space="preserve">Locked / Audit-Ready</t>
  </si>
  <si>
    <t xml:space="preserve">Total documents tracked</t>
  </si>
  <si>
    <t xml:space="preserve">Records overdue - escalate</t>
  </si>
  <si>
    <t xml:space="preserve">Records due soon - notify</t>
  </si>
  <si>
    <t xml:space="preserve">Records approved &amp; signed</t>
  </si>
</sst>
</file>

<file path=xl/styles.xml><?xml version="1.0" encoding="utf-8"?>
<styleSheet xmlns="http://schemas.openxmlformats.org/spreadsheetml/2006/main">
  <numFmts count="5">
    <numFmt numFmtId="164" formatCode="General"/>
    <numFmt numFmtId="165" formatCode="yyyy\-mm\-dd"/>
    <numFmt numFmtId="166" formatCode="0.0000%"/>
    <numFmt numFmtId="167" formatCode="0.0%"/>
    <numFmt numFmtId="168" formatCode="yyyy\-mm\-dd\ hh:mm"/>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444444"/>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5">
    <fill>
      <patternFill patternType="none"/>
    </fill>
    <fill>
      <patternFill patternType="gray125"/>
    </fill>
    <fill>
      <patternFill patternType="solid">
        <fgColor rgb="FF1D9E75"/>
        <bgColor rgb="FF008080"/>
      </patternFill>
    </fill>
    <fill>
      <patternFill patternType="solid">
        <fgColor rgb="FFFFF2CC"/>
        <bgColor rgb="FFFFFFFF"/>
      </patternFill>
    </fill>
    <fill>
      <patternFill patternType="solid">
        <fgColor rgb="FF185FA5"/>
        <bgColor rgb="FF00808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1D9E75"/>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row>
    <row r="8" customFormat="false" ht="15" hidden="false" customHeight="true" outlineLevel="0" collapsed="false">
      <c r="A8" s="5"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t="s">
        <v>10</v>
      </c>
    </row>
    <row r="14" customFormat="false" ht="15" hidden="false" customHeight="true" outlineLevel="0" collapsed="false">
      <c r="A14" s="6" t="s">
        <v>11</v>
      </c>
    </row>
    <row r="15" customFormat="false" ht="15" hidden="false" customHeight="true" outlineLevel="0" collapsed="false">
      <c r="A15" s="6" t="s">
        <v>12</v>
      </c>
    </row>
    <row r="16" customFormat="false" ht="15" hidden="false" customHeight="true" outlineLevel="0" collapsed="false">
      <c r="A16" s="4"/>
    </row>
    <row r="17" customFormat="false" ht="15" hidden="false" customHeight="true" outlineLevel="0" collapsed="false">
      <c r="A17" s="5" t="s">
        <v>13</v>
      </c>
    </row>
    <row r="18" customFormat="false" ht="15" hidden="false" customHeight="false" outlineLevel="0" collapsed="false">
      <c r="A18" s="4" t="s">
        <v>14</v>
      </c>
    </row>
    <row r="19" customFormat="false" ht="15" hidden="false" customHeight="false" outlineLevel="0" collapsed="false">
      <c r="A19"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22"/>
    <col collapsed="false" customWidth="true" hidden="false" outlineLevel="0" max="4" min="4" style="1" width="10"/>
    <col collapsed="false" customWidth="true" hidden="false" outlineLevel="0" max="5" min="5" style="1" width="16"/>
    <col collapsed="false" customWidth="true" hidden="false" outlineLevel="0" max="6" min="6" style="1" width="13"/>
    <col collapsed="false" customWidth="true" hidden="false" outlineLevel="0" max="7" min="7" style="1" width="15"/>
    <col collapsed="false" customWidth="true" hidden="false" outlineLevel="0" max="8" min="8" style="1" width="13"/>
    <col collapsed="false" customWidth="true" hidden="false" outlineLevel="0" max="9" min="9" style="1" width="18"/>
  </cols>
  <sheetData>
    <row r="1" customFormat="false" ht="17.25" hidden="false" customHeight="true" outlineLevel="0" collapsed="false">
      <c r="A1" s="2" t="s">
        <v>16</v>
      </c>
    </row>
    <row r="2" customFormat="false" ht="15" hidden="false" customHeight="true" outlineLevel="0" collapsed="false">
      <c r="A2" s="3" t="s">
        <v>17</v>
      </c>
    </row>
    <row r="4" customFormat="false" ht="23.25" hidden="false" customHeight="true" outlineLevel="0" collapsed="false">
      <c r="A4" s="7" t="s">
        <v>18</v>
      </c>
      <c r="B4" s="7" t="s">
        <v>19</v>
      </c>
      <c r="C4" s="7" t="s">
        <v>20</v>
      </c>
      <c r="D4" s="7" t="s">
        <v>21</v>
      </c>
      <c r="E4" s="7" t="s">
        <v>22</v>
      </c>
      <c r="F4" s="7" t="s">
        <v>23</v>
      </c>
      <c r="G4" s="7" t="s">
        <v>24</v>
      </c>
      <c r="H4" s="7" t="s">
        <v>25</v>
      </c>
      <c r="I4" s="7" t="s">
        <v>26</v>
      </c>
    </row>
    <row r="5" customFormat="false" ht="15" hidden="false" customHeight="true" outlineLevel="0" collapsed="false">
      <c r="A5" s="8" t="s">
        <v>27</v>
      </c>
      <c r="B5" s="8" t="s">
        <v>28</v>
      </c>
      <c r="C5" s="8" t="s">
        <v>29</v>
      </c>
      <c r="D5" s="8" t="s">
        <v>30</v>
      </c>
      <c r="E5" s="8" t="s">
        <v>31</v>
      </c>
      <c r="F5" s="9" t="n">
        <v>45444</v>
      </c>
      <c r="G5" s="8" t="n">
        <f aca="true">TODAY()-F5</f>
        <v>815</v>
      </c>
      <c r="H5" s="8" t="s">
        <v>32</v>
      </c>
      <c r="I5" s="8" t="s">
        <v>33</v>
      </c>
    </row>
    <row r="6" customFormat="false" ht="15" hidden="false" customHeight="true" outlineLevel="0" collapsed="false">
      <c r="A6" s="8" t="s">
        <v>34</v>
      </c>
      <c r="B6" s="8" t="s">
        <v>35</v>
      </c>
      <c r="C6" s="8" t="s">
        <v>36</v>
      </c>
      <c r="D6" s="8" t="s">
        <v>30</v>
      </c>
      <c r="E6" s="8" t="s">
        <v>37</v>
      </c>
      <c r="F6" s="9" t="n">
        <v>45461</v>
      </c>
      <c r="G6" s="8" t="n">
        <f aca="true">TODAY()-F6</f>
        <v>798</v>
      </c>
      <c r="H6" s="8" t="s">
        <v>32</v>
      </c>
      <c r="I6" s="8" t="s">
        <v>33</v>
      </c>
    </row>
    <row r="7" customFormat="false" ht="15" hidden="false" customHeight="true" outlineLevel="0" collapsed="false">
      <c r="A7" s="8" t="s">
        <v>38</v>
      </c>
      <c r="B7" s="8" t="s">
        <v>39</v>
      </c>
      <c r="C7" s="8" t="s">
        <v>40</v>
      </c>
      <c r="D7" s="8" t="s">
        <v>41</v>
      </c>
      <c r="E7" s="8" t="s">
        <v>42</v>
      </c>
      <c r="F7" s="9" t="n">
        <v>45478</v>
      </c>
      <c r="G7" s="8" t="n">
        <f aca="true">TODAY()-F7</f>
        <v>781</v>
      </c>
      <c r="H7" s="8" t="s">
        <v>43</v>
      </c>
      <c r="I7" s="8" t="s">
        <v>33</v>
      </c>
    </row>
    <row r="8" customFormat="false" ht="15" hidden="false" customHeight="true" outlineLevel="0" collapsed="false">
      <c r="A8" s="8" t="s">
        <v>44</v>
      </c>
      <c r="B8" s="8" t="s">
        <v>45</v>
      </c>
      <c r="C8" s="8" t="s">
        <v>46</v>
      </c>
      <c r="D8" s="8" t="s">
        <v>41</v>
      </c>
      <c r="E8" s="8" t="s">
        <v>47</v>
      </c>
      <c r="F8" s="9" t="n">
        <v>45495</v>
      </c>
      <c r="G8" s="8" t="n">
        <f aca="true">TODAY()-F8</f>
        <v>764</v>
      </c>
      <c r="H8" s="8" t="s">
        <v>43</v>
      </c>
      <c r="I8" s="8" t="s">
        <v>48</v>
      </c>
    </row>
    <row r="9" customFormat="false" ht="15" hidden="false" customHeight="true" outlineLevel="0" collapsed="false">
      <c r="A9" s="8" t="s">
        <v>49</v>
      </c>
      <c r="B9" s="8" t="s">
        <v>50</v>
      </c>
      <c r="C9" s="8" t="s">
        <v>51</v>
      </c>
      <c r="D9" s="8" t="s">
        <v>52</v>
      </c>
      <c r="E9" s="8" t="s">
        <v>53</v>
      </c>
      <c r="F9" s="9" t="n">
        <v>45512</v>
      </c>
      <c r="G9" s="8" t="n">
        <f aca="true">TODAY()-F9</f>
        <v>747</v>
      </c>
      <c r="H9" s="8" t="s">
        <v>43</v>
      </c>
      <c r="I9" s="8" t="s">
        <v>33</v>
      </c>
    </row>
    <row r="10" customFormat="false" ht="15" hidden="false" customHeight="true" outlineLevel="0" collapsed="false">
      <c r="A10" s="8" t="s">
        <v>54</v>
      </c>
      <c r="B10" s="8" t="s">
        <v>28</v>
      </c>
      <c r="C10" s="8" t="s">
        <v>29</v>
      </c>
      <c r="D10" s="8" t="s">
        <v>30</v>
      </c>
      <c r="E10" s="8" t="s">
        <v>55</v>
      </c>
      <c r="F10" s="9" t="n">
        <v>45529</v>
      </c>
      <c r="G10" s="8" t="n">
        <f aca="true">TODAY()-F10</f>
        <v>730</v>
      </c>
      <c r="H10" s="8" t="s">
        <v>32</v>
      </c>
      <c r="I10" s="8" t="s">
        <v>56</v>
      </c>
    </row>
    <row r="11" customFormat="false" ht="15" hidden="false" customHeight="true" outlineLevel="0" collapsed="false">
      <c r="A11" s="8" t="s">
        <v>57</v>
      </c>
      <c r="B11" s="8" t="s">
        <v>35</v>
      </c>
      <c r="C11" s="8" t="s">
        <v>36</v>
      </c>
      <c r="D11" s="8" t="s">
        <v>30</v>
      </c>
      <c r="E11" s="8" t="s">
        <v>58</v>
      </c>
      <c r="F11" s="9" t="n">
        <v>45546</v>
      </c>
      <c r="G11" s="8" t="n">
        <f aca="true">TODAY()-F11</f>
        <v>713</v>
      </c>
      <c r="H11" s="8" t="s">
        <v>32</v>
      </c>
      <c r="I11" s="8" t="s">
        <v>33</v>
      </c>
    </row>
    <row r="12" customFormat="false" ht="15" hidden="false" customHeight="true" outlineLevel="0" collapsed="false">
      <c r="A12" s="8" t="s">
        <v>59</v>
      </c>
      <c r="B12" s="8" t="s">
        <v>39</v>
      </c>
      <c r="C12" s="8" t="s">
        <v>40</v>
      </c>
      <c r="D12" s="8" t="s">
        <v>41</v>
      </c>
      <c r="E12" s="8" t="s">
        <v>60</v>
      </c>
      <c r="F12" s="9" t="n">
        <v>45563</v>
      </c>
      <c r="G12" s="8" t="n">
        <f aca="true">TODAY()-F12</f>
        <v>696</v>
      </c>
      <c r="H12" s="8" t="s">
        <v>43</v>
      </c>
      <c r="I12" s="8" t="s">
        <v>33</v>
      </c>
    </row>
    <row r="13" customFormat="false" ht="15" hidden="false" customHeight="true" outlineLevel="0" collapsed="false">
      <c r="A13" s="8" t="s">
        <v>61</v>
      </c>
      <c r="B13" s="8" t="s">
        <v>45</v>
      </c>
      <c r="C13" s="8" t="s">
        <v>46</v>
      </c>
      <c r="D13" s="8" t="s">
        <v>41</v>
      </c>
      <c r="E13" s="8" t="s">
        <v>62</v>
      </c>
      <c r="F13" s="9" t="n">
        <v>45580</v>
      </c>
      <c r="G13" s="8" t="n">
        <f aca="true">TODAY()-F13</f>
        <v>679</v>
      </c>
      <c r="H13" s="8" t="s">
        <v>43</v>
      </c>
      <c r="I13" s="8" t="s">
        <v>33</v>
      </c>
    </row>
    <row r="14" customFormat="false" ht="15" hidden="false" customHeight="true" outlineLevel="0" collapsed="false">
      <c r="A14" s="8" t="s">
        <v>63</v>
      </c>
      <c r="B14" s="8" t="s">
        <v>50</v>
      </c>
      <c r="C14" s="8" t="s">
        <v>51</v>
      </c>
      <c r="D14" s="8" t="s">
        <v>52</v>
      </c>
      <c r="E14" s="8" t="s">
        <v>64</v>
      </c>
      <c r="F14" s="9" t="n">
        <v>45597</v>
      </c>
      <c r="G14" s="8" t="n">
        <f aca="true">TODAY()-F14</f>
        <v>662</v>
      </c>
      <c r="H14" s="8" t="s">
        <v>43</v>
      </c>
      <c r="I14" s="8" t="s">
        <v>33</v>
      </c>
    </row>
    <row r="15" customFormat="false" ht="15" hidden="false" customHeight="true" outlineLevel="0" collapsed="false">
      <c r="A15" s="8" t="s">
        <v>65</v>
      </c>
      <c r="B15" s="8" t="s">
        <v>28</v>
      </c>
      <c r="C15" s="8" t="s">
        <v>29</v>
      </c>
      <c r="D15" s="8" t="s">
        <v>30</v>
      </c>
      <c r="E15" s="8" t="s">
        <v>66</v>
      </c>
      <c r="F15" s="9" t="n">
        <v>45614</v>
      </c>
      <c r="G15" s="8" t="n">
        <f aca="true">TODAY()-F15</f>
        <v>645</v>
      </c>
      <c r="H15" s="8" t="s">
        <v>32</v>
      </c>
      <c r="I15" s="8" t="s">
        <v>33</v>
      </c>
    </row>
    <row r="16" customFormat="false" ht="15" hidden="false" customHeight="true" outlineLevel="0" collapsed="false">
      <c r="A16" s="8" t="s">
        <v>67</v>
      </c>
      <c r="B16" s="8" t="s">
        <v>35</v>
      </c>
      <c r="C16" s="8" t="s">
        <v>36</v>
      </c>
      <c r="D16" s="8" t="s">
        <v>30</v>
      </c>
      <c r="E16" s="8" t="s">
        <v>68</v>
      </c>
      <c r="F16" s="9" t="n">
        <v>45631</v>
      </c>
      <c r="G16" s="8" t="n">
        <f aca="true">TODAY()-F16</f>
        <v>628</v>
      </c>
      <c r="H16" s="8" t="s">
        <v>32</v>
      </c>
      <c r="I16" s="8" t="s">
        <v>48</v>
      </c>
    </row>
    <row r="17" customFormat="false" ht="15" hidden="false" customHeight="true" outlineLevel="0" collapsed="false">
      <c r="A17" s="8" t="s">
        <v>69</v>
      </c>
      <c r="B17" s="8" t="s">
        <v>39</v>
      </c>
      <c r="C17" s="8" t="s">
        <v>40</v>
      </c>
      <c r="D17" s="8" t="s">
        <v>41</v>
      </c>
      <c r="E17" s="8" t="s">
        <v>70</v>
      </c>
      <c r="F17" s="9" t="n">
        <v>45648</v>
      </c>
      <c r="G17" s="8" t="n">
        <f aca="true">TODAY()-F17</f>
        <v>611</v>
      </c>
      <c r="H17" s="8" t="s">
        <v>43</v>
      </c>
      <c r="I17" s="8" t="s">
        <v>33</v>
      </c>
    </row>
    <row r="18" customFormat="false" ht="15" hidden="false" customHeight="true" outlineLevel="0" collapsed="false">
      <c r="A18" s="8" t="s">
        <v>71</v>
      </c>
      <c r="B18" s="8" t="s">
        <v>45</v>
      </c>
      <c r="C18" s="8" t="s">
        <v>46</v>
      </c>
      <c r="D18" s="8" t="s">
        <v>41</v>
      </c>
      <c r="E18" s="8" t="s">
        <v>72</v>
      </c>
      <c r="F18" s="9" t="n">
        <v>45665</v>
      </c>
      <c r="G18" s="8" t="n">
        <f aca="true">TODAY()-F18</f>
        <v>594</v>
      </c>
      <c r="H18" s="8" t="s">
        <v>43</v>
      </c>
      <c r="I18" s="8" t="s">
        <v>56</v>
      </c>
    </row>
    <row r="19" customFormat="false" ht="15" hidden="false" customHeight="true" outlineLevel="0" collapsed="false">
      <c r="A19" s="8" t="s">
        <v>73</v>
      </c>
      <c r="B19" s="8" t="s">
        <v>50</v>
      </c>
      <c r="C19" s="8" t="s">
        <v>51</v>
      </c>
      <c r="D19" s="8" t="s">
        <v>52</v>
      </c>
      <c r="E19" s="8" t="s">
        <v>74</v>
      </c>
      <c r="F19" s="9" t="n">
        <v>45682</v>
      </c>
      <c r="G19" s="8" t="n">
        <f aca="true">TODAY()-F19</f>
        <v>577</v>
      </c>
      <c r="H19" s="8" t="s">
        <v>43</v>
      </c>
      <c r="I19" s="8" t="s">
        <v>33</v>
      </c>
    </row>
    <row r="20" customFormat="false" ht="15" hidden="false" customHeight="true" outlineLevel="0" collapsed="false">
      <c r="A20" s="8" t="s">
        <v>75</v>
      </c>
      <c r="B20" s="8" t="s">
        <v>28</v>
      </c>
      <c r="C20" s="8" t="s">
        <v>29</v>
      </c>
      <c r="D20" s="8" t="s">
        <v>30</v>
      </c>
      <c r="E20" s="8" t="s">
        <v>76</v>
      </c>
      <c r="F20" s="9" t="n">
        <v>45699</v>
      </c>
      <c r="G20" s="8" t="n">
        <f aca="true">TODAY()-F20</f>
        <v>560</v>
      </c>
      <c r="H20" s="8" t="s">
        <v>32</v>
      </c>
      <c r="I20" s="8" t="s">
        <v>33</v>
      </c>
    </row>
    <row r="21" customFormat="false" ht="15" hidden="false" customHeight="true" outlineLevel="0" collapsed="false">
      <c r="A21" s="8" t="s">
        <v>77</v>
      </c>
      <c r="B21" s="8" t="s">
        <v>35</v>
      </c>
      <c r="C21" s="8" t="s">
        <v>36</v>
      </c>
      <c r="D21" s="8" t="s">
        <v>30</v>
      </c>
      <c r="E21" s="8" t="s">
        <v>78</v>
      </c>
      <c r="F21" s="9" t="n">
        <v>45716</v>
      </c>
      <c r="G21" s="8" t="n">
        <f aca="true">TODAY()-F21</f>
        <v>543</v>
      </c>
      <c r="H21" s="8" t="s">
        <v>32</v>
      </c>
      <c r="I21" s="8" t="s">
        <v>33</v>
      </c>
    </row>
    <row r="22" customFormat="false" ht="15" hidden="false" customHeight="true" outlineLevel="0" collapsed="false">
      <c r="A22" s="8" t="s">
        <v>79</v>
      </c>
      <c r="B22" s="8" t="s">
        <v>39</v>
      </c>
      <c r="C22" s="8" t="s">
        <v>40</v>
      </c>
      <c r="D22" s="8" t="s">
        <v>41</v>
      </c>
      <c r="E22" s="8" t="s">
        <v>80</v>
      </c>
      <c r="F22" s="9" t="n">
        <v>45733</v>
      </c>
      <c r="G22" s="8" t="n">
        <f aca="true">TODAY()-F22</f>
        <v>526</v>
      </c>
      <c r="H22" s="8" t="s">
        <v>43</v>
      </c>
      <c r="I22" s="8"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12"/>
    <col collapsed="false" customWidth="true" hidden="false" outlineLevel="0" max="4" min="4" style="1" width="11"/>
    <col collapsed="false" customWidth="true" hidden="false" outlineLevel="0" max="5" min="5" style="1" width="15"/>
    <col collapsed="false" customWidth="true" hidden="false" outlineLevel="0" max="6" min="6" style="1" width="11"/>
    <col collapsed="false" customWidth="true" hidden="false" outlineLevel="0" max="7" min="7" style="1" width="13"/>
    <col collapsed="false" customWidth="true" hidden="false" outlineLevel="0" max="8" min="8" style="1" width="17"/>
    <col collapsed="false" customWidth="true" hidden="false" outlineLevel="0" max="9" min="9" style="1" width="18"/>
  </cols>
  <sheetData>
    <row r="1" customFormat="false" ht="17.25" hidden="false" customHeight="true" outlineLevel="0" collapsed="false">
      <c r="A1" s="2" t="s">
        <v>81</v>
      </c>
    </row>
    <row r="2" customFormat="false" ht="15" hidden="false" customHeight="true" outlineLevel="0" collapsed="false">
      <c r="A2" s="3" t="s">
        <v>82</v>
      </c>
    </row>
    <row r="3" customFormat="false" ht="15" hidden="false" customHeight="true" outlineLevel="0" collapsed="false">
      <c r="A3" s="10" t="s">
        <v>83</v>
      </c>
      <c r="B3" s="11" t="n">
        <v>0.0001</v>
      </c>
    </row>
    <row r="5" customFormat="false" ht="15" hidden="false" customHeight="true" outlineLevel="0" collapsed="false">
      <c r="A5" s="7" t="s">
        <v>84</v>
      </c>
      <c r="B5" s="7" t="s">
        <v>18</v>
      </c>
      <c r="C5" s="7" t="s">
        <v>85</v>
      </c>
      <c r="D5" s="7" t="s">
        <v>86</v>
      </c>
      <c r="E5" s="7" t="s">
        <v>87</v>
      </c>
      <c r="F5" s="7" t="s">
        <v>88</v>
      </c>
      <c r="G5" s="7" t="s">
        <v>89</v>
      </c>
      <c r="H5" s="7" t="s">
        <v>90</v>
      </c>
      <c r="I5" s="7" t="s">
        <v>91</v>
      </c>
    </row>
    <row r="6" customFormat="false" ht="15" hidden="false" customHeight="true" outlineLevel="0" collapsed="false">
      <c r="A6" s="8" t="s">
        <v>92</v>
      </c>
      <c r="B6" s="8" t="s">
        <v>27</v>
      </c>
      <c r="C6" s="9" t="n">
        <v>45700</v>
      </c>
      <c r="D6" s="8" t="n">
        <v>12</v>
      </c>
      <c r="E6" s="12" t="n">
        <v>0.00015</v>
      </c>
      <c r="F6" s="8" t="str">
        <f aca="false">IF(E6&lt;=$B$3,"Pass","Fail")</f>
        <v>Fail</v>
      </c>
      <c r="G6" s="8" t="s">
        <v>93</v>
      </c>
      <c r="H6" s="8" t="s">
        <v>94</v>
      </c>
      <c r="I6" s="8" t="str">
        <f aca="false">IF(F6="Pass","Locked","Locked - Flagged")</f>
        <v>Locked - Flagged</v>
      </c>
    </row>
    <row r="7" customFormat="false" ht="15" hidden="false" customHeight="true" outlineLevel="0" collapsed="false">
      <c r="A7" s="8" t="s">
        <v>95</v>
      </c>
      <c r="B7" s="8" t="s">
        <v>27</v>
      </c>
      <c r="C7" s="9" t="n">
        <v>45711</v>
      </c>
      <c r="D7" s="8" t="n">
        <v>20</v>
      </c>
      <c r="E7" s="12" t="n">
        <v>4E-005</v>
      </c>
      <c r="F7" s="8" t="str">
        <f aca="false">IF(E7&lt;=$B$3,"Pass","Fail")</f>
        <v>Pass</v>
      </c>
      <c r="G7" s="8" t="s">
        <v>96</v>
      </c>
      <c r="H7" s="8" t="s">
        <v>97</v>
      </c>
      <c r="I7" s="8" t="str">
        <f aca="false">IF(F7="Pass","Locked","Locked - Flagged")</f>
        <v>Locked</v>
      </c>
    </row>
    <row r="8" customFormat="false" ht="15" hidden="false" customHeight="true" outlineLevel="0" collapsed="false">
      <c r="A8" s="8" t="s">
        <v>98</v>
      </c>
      <c r="B8" s="8" t="s">
        <v>34</v>
      </c>
      <c r="C8" s="9" t="n">
        <v>45722</v>
      </c>
      <c r="D8" s="8" t="n">
        <v>12</v>
      </c>
      <c r="E8" s="12" t="n">
        <v>8E-005</v>
      </c>
      <c r="F8" s="8" t="str">
        <f aca="false">IF(E8&lt;=$B$3,"Pass","Fail")</f>
        <v>Pass</v>
      </c>
      <c r="G8" s="8" t="s">
        <v>99</v>
      </c>
      <c r="H8" s="8" t="s">
        <v>100</v>
      </c>
      <c r="I8" s="8" t="str">
        <f aca="false">IF(F8="Pass","Locked","Locked - Flagged")</f>
        <v>Locked</v>
      </c>
    </row>
    <row r="9" customFormat="false" ht="15" hidden="false" customHeight="true" outlineLevel="0" collapsed="false">
      <c r="A9" s="8" t="s">
        <v>101</v>
      </c>
      <c r="B9" s="8" t="s">
        <v>34</v>
      </c>
      <c r="C9" s="9" t="n">
        <v>45733</v>
      </c>
      <c r="D9" s="8" t="n">
        <v>12</v>
      </c>
      <c r="E9" s="12" t="n">
        <v>6E-005</v>
      </c>
      <c r="F9" s="8" t="str">
        <f aca="false">IF(E9&lt;=$B$3,"Pass","Fail")</f>
        <v>Pass</v>
      </c>
      <c r="G9" s="8" t="s">
        <v>102</v>
      </c>
      <c r="H9" s="8" t="s">
        <v>103</v>
      </c>
      <c r="I9" s="8" t="str">
        <f aca="false">IF(F9="Pass","Locked","Locked - Flagged")</f>
        <v>Locked</v>
      </c>
    </row>
    <row r="10" customFormat="false" ht="15" hidden="false" customHeight="true" outlineLevel="0" collapsed="false">
      <c r="A10" s="8" t="s">
        <v>104</v>
      </c>
      <c r="B10" s="8" t="s">
        <v>38</v>
      </c>
      <c r="C10" s="9" t="n">
        <v>45744</v>
      </c>
      <c r="D10" s="8" t="n">
        <v>12</v>
      </c>
      <c r="E10" s="12" t="n">
        <v>0.00015</v>
      </c>
      <c r="F10" s="8" t="str">
        <f aca="false">IF(E10&lt;=$B$3,"Pass","Fail")</f>
        <v>Fail</v>
      </c>
      <c r="G10" s="8" t="s">
        <v>93</v>
      </c>
      <c r="H10" s="8" t="s">
        <v>94</v>
      </c>
      <c r="I10" s="8" t="str">
        <f aca="false">IF(F10="Pass","Locked","Locked - Flagged")</f>
        <v>Locked - Flagged</v>
      </c>
    </row>
    <row r="11" customFormat="false" ht="15" hidden="false" customHeight="true" outlineLevel="0" collapsed="false">
      <c r="A11" s="8" t="s">
        <v>105</v>
      </c>
      <c r="B11" s="8" t="s">
        <v>38</v>
      </c>
      <c r="C11" s="9" t="n">
        <v>45755</v>
      </c>
      <c r="D11" s="8" t="n">
        <v>20</v>
      </c>
      <c r="E11" s="12" t="n">
        <v>0.00015</v>
      </c>
      <c r="F11" s="8" t="str">
        <f aca="false">IF(E11&lt;=$B$3,"Pass","Fail")</f>
        <v>Fail</v>
      </c>
      <c r="G11" s="8" t="s">
        <v>96</v>
      </c>
      <c r="H11" s="8" t="s">
        <v>97</v>
      </c>
      <c r="I11" s="8" t="str">
        <f aca="false">IF(F11="Pass","Locked","Locked - Flagged")</f>
        <v>Locked - Flagged</v>
      </c>
    </row>
    <row r="12" customFormat="false" ht="15" hidden="false" customHeight="true" outlineLevel="0" collapsed="false">
      <c r="A12" s="8" t="s">
        <v>106</v>
      </c>
      <c r="B12" s="8" t="s">
        <v>44</v>
      </c>
      <c r="C12" s="9" t="n">
        <v>45766</v>
      </c>
      <c r="D12" s="8" t="n">
        <v>12</v>
      </c>
      <c r="E12" s="12" t="n">
        <v>0.00012</v>
      </c>
      <c r="F12" s="8" t="str">
        <f aca="false">IF(E12&lt;=$B$3,"Pass","Fail")</f>
        <v>Fail</v>
      </c>
      <c r="G12" s="8" t="s">
        <v>99</v>
      </c>
      <c r="H12" s="8" t="s">
        <v>100</v>
      </c>
      <c r="I12" s="8" t="str">
        <f aca="false">IF(F12="Pass","Locked","Locked - Flagged")</f>
        <v>Locked - Flagged</v>
      </c>
    </row>
    <row r="13" customFormat="false" ht="15" hidden="false" customHeight="true" outlineLevel="0" collapsed="false">
      <c r="A13" s="8" t="s">
        <v>107</v>
      </c>
      <c r="B13" s="8" t="s">
        <v>44</v>
      </c>
      <c r="C13" s="9" t="n">
        <v>45777</v>
      </c>
      <c r="D13" s="8" t="n">
        <v>16</v>
      </c>
      <c r="E13" s="12" t="n">
        <v>0.00012</v>
      </c>
      <c r="F13" s="8" t="str">
        <f aca="false">IF(E13&lt;=$B$3,"Pass","Fail")</f>
        <v>Fail</v>
      </c>
      <c r="G13" s="8" t="s">
        <v>102</v>
      </c>
      <c r="H13" s="8" t="s">
        <v>103</v>
      </c>
      <c r="I13" s="8" t="str">
        <f aca="false">IF(F13="Pass","Locked","Locked - Flagged")</f>
        <v>Locked - Flagged</v>
      </c>
    </row>
    <row r="14" customFormat="false" ht="15" hidden="false" customHeight="true" outlineLevel="0" collapsed="false">
      <c r="A14" s="8" t="s">
        <v>108</v>
      </c>
      <c r="B14" s="8" t="s">
        <v>49</v>
      </c>
      <c r="C14" s="9" t="n">
        <v>45788</v>
      </c>
      <c r="D14" s="8" t="n">
        <v>12</v>
      </c>
      <c r="E14" s="12" t="n">
        <v>4E-005</v>
      </c>
      <c r="F14" s="8" t="str">
        <f aca="false">IF(E14&lt;=$B$3,"Pass","Fail")</f>
        <v>Pass</v>
      </c>
      <c r="G14" s="8" t="s">
        <v>93</v>
      </c>
      <c r="H14" s="8" t="s">
        <v>94</v>
      </c>
      <c r="I14" s="8" t="str">
        <f aca="false">IF(F14="Pass","Locked","Locked - Flagged")</f>
        <v>Locked</v>
      </c>
    </row>
    <row r="15" customFormat="false" ht="15" hidden="false" customHeight="true" outlineLevel="0" collapsed="false">
      <c r="A15" s="8" t="s">
        <v>109</v>
      </c>
      <c r="B15" s="8" t="s">
        <v>49</v>
      </c>
      <c r="C15" s="9" t="n">
        <v>45799</v>
      </c>
      <c r="D15" s="8" t="n">
        <v>12</v>
      </c>
      <c r="E15" s="12" t="n">
        <v>4E-005</v>
      </c>
      <c r="F15" s="8" t="str">
        <f aca="false">IF(E15&lt;=$B$3,"Pass","Fail")</f>
        <v>Pass</v>
      </c>
      <c r="G15" s="8" t="s">
        <v>96</v>
      </c>
      <c r="H15" s="8" t="s">
        <v>97</v>
      </c>
      <c r="I15" s="8" t="str">
        <f aca="false">IF(F15="Pass","Locked","Locked - Flagged")</f>
        <v>Locked</v>
      </c>
    </row>
    <row r="16" customFormat="false" ht="15" hidden="false" customHeight="true" outlineLevel="0" collapsed="false">
      <c r="A16" s="8" t="s">
        <v>110</v>
      </c>
      <c r="B16" s="8" t="s">
        <v>54</v>
      </c>
      <c r="C16" s="9" t="n">
        <v>45810</v>
      </c>
      <c r="D16" s="8" t="n">
        <v>20</v>
      </c>
      <c r="E16" s="12" t="n">
        <v>6E-005</v>
      </c>
      <c r="F16" s="8" t="str">
        <f aca="false">IF(E16&lt;=$B$3,"Pass","Fail")</f>
        <v>Pass</v>
      </c>
      <c r="G16" s="8" t="s">
        <v>99</v>
      </c>
      <c r="H16" s="8" t="s">
        <v>100</v>
      </c>
      <c r="I16" s="8" t="str">
        <f aca="false">IF(F16="Pass","Locked","Locked - Flagged")</f>
        <v>Locked</v>
      </c>
    </row>
    <row r="17" customFormat="false" ht="15" hidden="false" customHeight="true" outlineLevel="0" collapsed="false">
      <c r="A17" s="8" t="s">
        <v>111</v>
      </c>
      <c r="B17" s="8" t="s">
        <v>54</v>
      </c>
      <c r="C17" s="9" t="n">
        <v>45821</v>
      </c>
      <c r="D17" s="8" t="n">
        <v>12</v>
      </c>
      <c r="E17" s="12" t="n">
        <v>0.00012</v>
      </c>
      <c r="F17" s="8" t="str">
        <f aca="false">IF(E17&lt;=$B$3,"Pass","Fail")</f>
        <v>Fail</v>
      </c>
      <c r="G17" s="8" t="s">
        <v>102</v>
      </c>
      <c r="H17" s="8" t="s">
        <v>103</v>
      </c>
      <c r="I17" s="8" t="str">
        <f aca="false">IF(F17="Pass","Locked","Locked - Flagged")</f>
        <v>Locked - Flagged</v>
      </c>
    </row>
    <row r="18" customFormat="false" ht="15" hidden="false" customHeight="true" outlineLevel="0" collapsed="false">
      <c r="A18" s="8" t="s">
        <v>112</v>
      </c>
      <c r="B18" s="8" t="s">
        <v>57</v>
      </c>
      <c r="C18" s="9" t="n">
        <v>45832</v>
      </c>
      <c r="D18" s="8" t="n">
        <v>12</v>
      </c>
      <c r="E18" s="12" t="n">
        <v>0.00012</v>
      </c>
      <c r="F18" s="8" t="str">
        <f aca="false">IF(E18&lt;=$B$3,"Pass","Fail")</f>
        <v>Fail</v>
      </c>
      <c r="G18" s="8" t="s">
        <v>93</v>
      </c>
      <c r="H18" s="8" t="s">
        <v>94</v>
      </c>
      <c r="I18" s="8" t="str">
        <f aca="false">IF(F18="Pass","Locked","Locked - Flagged")</f>
        <v>Locked - Flagged</v>
      </c>
    </row>
    <row r="19" customFormat="false" ht="15" hidden="false" customHeight="true" outlineLevel="0" collapsed="false">
      <c r="A19" s="8" t="s">
        <v>113</v>
      </c>
      <c r="B19" s="8" t="s">
        <v>57</v>
      </c>
      <c r="C19" s="9" t="n">
        <v>45843</v>
      </c>
      <c r="D19" s="8" t="n">
        <v>20</v>
      </c>
      <c r="E19" s="12" t="n">
        <v>0.00015</v>
      </c>
      <c r="F19" s="8" t="str">
        <f aca="false">IF(E19&lt;=$B$3,"Pass","Fail")</f>
        <v>Fail</v>
      </c>
      <c r="G19" s="8" t="s">
        <v>96</v>
      </c>
      <c r="H19" s="8" t="s">
        <v>97</v>
      </c>
      <c r="I19" s="8" t="str">
        <f aca="false">IF(F19="Pass","Locked","Locked - Flagged")</f>
        <v>Locked - Flagged</v>
      </c>
    </row>
    <row r="20" customFormat="false" ht="15" hidden="false" customHeight="true" outlineLevel="0" collapsed="false">
      <c r="A20" s="8" t="s">
        <v>114</v>
      </c>
      <c r="B20" s="8" t="s">
        <v>59</v>
      </c>
      <c r="C20" s="9" t="n">
        <v>45854</v>
      </c>
      <c r="D20" s="8" t="n">
        <v>20</v>
      </c>
      <c r="E20" s="12" t="n">
        <v>0.00015</v>
      </c>
      <c r="F20" s="8" t="str">
        <f aca="false">IF(E20&lt;=$B$3,"Pass","Fail")</f>
        <v>Fail</v>
      </c>
      <c r="G20" s="8" t="s">
        <v>99</v>
      </c>
      <c r="H20" s="8" t="s">
        <v>100</v>
      </c>
      <c r="I20" s="8" t="str">
        <f aca="false">IF(F20="Pass","Locked","Locked - Flagged")</f>
        <v>Locked - Flagged</v>
      </c>
    </row>
    <row r="21" customFormat="false" ht="15" hidden="false" customHeight="true" outlineLevel="0" collapsed="false">
      <c r="A21" s="8" t="s">
        <v>115</v>
      </c>
      <c r="B21" s="8" t="s">
        <v>59</v>
      </c>
      <c r="C21" s="9" t="n">
        <v>45865</v>
      </c>
      <c r="D21" s="8" t="n">
        <v>12</v>
      </c>
      <c r="E21" s="12" t="n">
        <v>9E-005</v>
      </c>
      <c r="F21" s="8" t="str">
        <f aca="false">IF(E21&lt;=$B$3,"Pass","Fail")</f>
        <v>Pass</v>
      </c>
      <c r="G21" s="8" t="s">
        <v>102</v>
      </c>
      <c r="H21" s="8" t="s">
        <v>103</v>
      </c>
      <c r="I21" s="8" t="str">
        <f aca="false">IF(F21="Pass","Locked","Locked - Flagged")</f>
        <v>Locked</v>
      </c>
    </row>
    <row r="22" customFormat="false" ht="15" hidden="false" customHeight="true" outlineLevel="0" collapsed="false">
      <c r="A22" s="8" t="s">
        <v>116</v>
      </c>
      <c r="B22" s="8" t="s">
        <v>61</v>
      </c>
      <c r="C22" s="9" t="n">
        <v>45876</v>
      </c>
      <c r="D22" s="8" t="n">
        <v>20</v>
      </c>
      <c r="E22" s="12" t="n">
        <v>9E-005</v>
      </c>
      <c r="F22" s="8" t="str">
        <f aca="false">IF(E22&lt;=$B$3,"Pass","Fail")</f>
        <v>Pass</v>
      </c>
      <c r="G22" s="8" t="s">
        <v>93</v>
      </c>
      <c r="H22" s="8" t="s">
        <v>94</v>
      </c>
      <c r="I22" s="8" t="str">
        <f aca="false">IF(F22="Pass","Locked","Locked - Flagged")</f>
        <v>Locked</v>
      </c>
    </row>
    <row r="23" customFormat="false" ht="15" hidden="false" customHeight="true" outlineLevel="0" collapsed="false">
      <c r="A23" s="8" t="s">
        <v>117</v>
      </c>
      <c r="B23" s="8" t="s">
        <v>61</v>
      </c>
      <c r="C23" s="9" t="n">
        <v>45887</v>
      </c>
      <c r="D23" s="8" t="n">
        <v>12</v>
      </c>
      <c r="E23" s="12" t="n">
        <v>8E-005</v>
      </c>
      <c r="F23" s="8" t="str">
        <f aca="false">IF(E23&lt;=$B$3,"Pass","Fail")</f>
        <v>Pass</v>
      </c>
      <c r="G23" s="8" t="s">
        <v>96</v>
      </c>
      <c r="H23" s="8" t="s">
        <v>97</v>
      </c>
      <c r="I23" s="8" t="str">
        <f aca="false">IF(F23="Pass","Locked","Locked - Flagged")</f>
        <v>Locked</v>
      </c>
    </row>
    <row r="24" customFormat="false" ht="15" hidden="false" customHeight="true" outlineLevel="0" collapsed="false">
      <c r="A24" s="8" t="s">
        <v>118</v>
      </c>
      <c r="B24" s="8" t="s">
        <v>63</v>
      </c>
      <c r="C24" s="9" t="n">
        <v>45898</v>
      </c>
      <c r="D24" s="8" t="n">
        <v>20</v>
      </c>
      <c r="E24" s="12" t="n">
        <v>6E-005</v>
      </c>
      <c r="F24" s="8" t="str">
        <f aca="false">IF(E24&lt;=$B$3,"Pass","Fail")</f>
        <v>Pass</v>
      </c>
      <c r="G24" s="8" t="s">
        <v>99</v>
      </c>
      <c r="H24" s="8" t="s">
        <v>100</v>
      </c>
      <c r="I24" s="8" t="str">
        <f aca="false">IF(F24="Pass","Locked","Locked - Flagged")</f>
        <v>Locked</v>
      </c>
    </row>
    <row r="25" customFormat="false" ht="15" hidden="false" customHeight="true" outlineLevel="0" collapsed="false">
      <c r="A25" s="8" t="s">
        <v>119</v>
      </c>
      <c r="B25" s="8" t="s">
        <v>63</v>
      </c>
      <c r="C25" s="9" t="n">
        <v>45909</v>
      </c>
      <c r="D25" s="8" t="n">
        <v>16</v>
      </c>
      <c r="E25" s="12" t="n">
        <v>9E-005</v>
      </c>
      <c r="F25" s="8" t="str">
        <f aca="false">IF(E25&lt;=$B$3,"Pass","Fail")</f>
        <v>Pass</v>
      </c>
      <c r="G25" s="8" t="s">
        <v>102</v>
      </c>
      <c r="H25" s="8" t="s">
        <v>103</v>
      </c>
      <c r="I25" s="8" t="str">
        <f aca="false">IF(F25="Pass","Locked","Locked - Flagged")</f>
        <v>Locked</v>
      </c>
    </row>
    <row r="26" customFormat="false" ht="15" hidden="false" customHeight="true" outlineLevel="0" collapsed="false">
      <c r="A26" s="8" t="s">
        <v>120</v>
      </c>
      <c r="B26" s="8" t="s">
        <v>65</v>
      </c>
      <c r="C26" s="9" t="n">
        <v>45920</v>
      </c>
      <c r="D26" s="8" t="n">
        <v>12</v>
      </c>
      <c r="E26" s="12" t="n">
        <v>8E-005</v>
      </c>
      <c r="F26" s="8" t="str">
        <f aca="false">IF(E26&lt;=$B$3,"Pass","Fail")</f>
        <v>Pass</v>
      </c>
      <c r="G26" s="8" t="s">
        <v>93</v>
      </c>
      <c r="H26" s="8" t="s">
        <v>94</v>
      </c>
      <c r="I26" s="8" t="str">
        <f aca="false">IF(F26="Pass","Locked","Locked - Flagged")</f>
        <v>Locked</v>
      </c>
    </row>
    <row r="27" customFormat="false" ht="15" hidden="false" customHeight="true" outlineLevel="0" collapsed="false">
      <c r="A27" s="8" t="s">
        <v>121</v>
      </c>
      <c r="B27" s="8" t="s">
        <v>65</v>
      </c>
      <c r="C27" s="9" t="n">
        <v>45931</v>
      </c>
      <c r="D27" s="8" t="n">
        <v>16</v>
      </c>
      <c r="E27" s="12" t="n">
        <v>6E-005</v>
      </c>
      <c r="F27" s="8" t="str">
        <f aca="false">IF(E27&lt;=$B$3,"Pass","Fail")</f>
        <v>Pass</v>
      </c>
      <c r="G27" s="8" t="s">
        <v>96</v>
      </c>
      <c r="H27" s="8" t="s">
        <v>97</v>
      </c>
      <c r="I27" s="8" t="str">
        <f aca="false">IF(F27="Pass","Locked","Locked - Flagged")</f>
        <v>Locked</v>
      </c>
    </row>
    <row r="28" customFormat="false" ht="15" hidden="false" customHeight="true" outlineLevel="0" collapsed="false">
      <c r="A28" s="8" t="s">
        <v>122</v>
      </c>
      <c r="B28" s="8" t="s">
        <v>67</v>
      </c>
      <c r="C28" s="9" t="n">
        <v>45942</v>
      </c>
      <c r="D28" s="8" t="n">
        <v>12</v>
      </c>
      <c r="E28" s="12" t="n">
        <v>4E-005</v>
      </c>
      <c r="F28" s="8" t="str">
        <f aca="false">IF(E28&lt;=$B$3,"Pass","Fail")</f>
        <v>Pass</v>
      </c>
      <c r="G28" s="8" t="s">
        <v>99</v>
      </c>
      <c r="H28" s="8" t="s">
        <v>100</v>
      </c>
      <c r="I28" s="8" t="str">
        <f aca="false">IF(F28="Pass","Locked","Locked - Flagged")</f>
        <v>Locked</v>
      </c>
    </row>
    <row r="29" customFormat="false" ht="15" hidden="false" customHeight="true" outlineLevel="0" collapsed="false">
      <c r="A29" s="8" t="s">
        <v>123</v>
      </c>
      <c r="B29" s="8" t="s">
        <v>67</v>
      </c>
      <c r="C29" s="9" t="n">
        <v>45953</v>
      </c>
      <c r="D29" s="8" t="n">
        <v>12</v>
      </c>
      <c r="E29" s="12" t="n">
        <v>9E-005</v>
      </c>
      <c r="F29" s="8" t="str">
        <f aca="false">IF(E29&lt;=$B$3,"Pass","Fail")</f>
        <v>Pass</v>
      </c>
      <c r="G29" s="8" t="s">
        <v>102</v>
      </c>
      <c r="H29" s="8" t="s">
        <v>103</v>
      </c>
      <c r="I29" s="8" t="str">
        <f aca="false">IF(F29="Pass","Locked","Locked - Flagged")</f>
        <v>Locked</v>
      </c>
    </row>
    <row r="30" customFormat="false" ht="15" hidden="false" customHeight="true" outlineLevel="0" collapsed="false">
      <c r="A30" s="8" t="s">
        <v>124</v>
      </c>
      <c r="B30" s="8" t="s">
        <v>69</v>
      </c>
      <c r="C30" s="9" t="n">
        <v>45964</v>
      </c>
      <c r="D30" s="8" t="n">
        <v>16</v>
      </c>
      <c r="E30" s="12" t="n">
        <v>8E-005</v>
      </c>
      <c r="F30" s="8" t="str">
        <f aca="false">IF(E30&lt;=$B$3,"Pass","Fail")</f>
        <v>Pass</v>
      </c>
      <c r="G30" s="8" t="s">
        <v>93</v>
      </c>
      <c r="H30" s="8" t="s">
        <v>94</v>
      </c>
      <c r="I30" s="8" t="str">
        <f aca="false">IF(F30="Pass","Locked","Locked - Flagged")</f>
        <v>Locked</v>
      </c>
    </row>
    <row r="31" customFormat="false" ht="15" hidden="false" customHeight="true" outlineLevel="0" collapsed="false">
      <c r="A31" s="8" t="s">
        <v>125</v>
      </c>
      <c r="B31" s="8" t="s">
        <v>69</v>
      </c>
      <c r="C31" s="9" t="n">
        <v>45975</v>
      </c>
      <c r="D31" s="8" t="n">
        <v>16</v>
      </c>
      <c r="E31" s="12" t="n">
        <v>0.00012</v>
      </c>
      <c r="F31" s="8" t="str">
        <f aca="false">IF(E31&lt;=$B$3,"Pass","Fail")</f>
        <v>Fail</v>
      </c>
      <c r="G31" s="8" t="s">
        <v>96</v>
      </c>
      <c r="H31" s="8" t="s">
        <v>97</v>
      </c>
      <c r="I31" s="8" t="str">
        <f aca="false">IF(F31="Pass","Locked","Locked - Flagged")</f>
        <v>Locked - Flagged</v>
      </c>
    </row>
    <row r="32" customFormat="false" ht="15" hidden="false" customHeight="true" outlineLevel="0" collapsed="false">
      <c r="A32" s="8" t="s">
        <v>126</v>
      </c>
      <c r="B32" s="8" t="s">
        <v>71</v>
      </c>
      <c r="C32" s="9" t="n">
        <v>45986</v>
      </c>
      <c r="D32" s="8" t="n">
        <v>20</v>
      </c>
      <c r="E32" s="12" t="n">
        <v>4E-005</v>
      </c>
      <c r="F32" s="8" t="str">
        <f aca="false">IF(E32&lt;=$B$3,"Pass","Fail")</f>
        <v>Pass</v>
      </c>
      <c r="G32" s="8" t="s">
        <v>99</v>
      </c>
      <c r="H32" s="8" t="s">
        <v>100</v>
      </c>
      <c r="I32" s="8" t="str">
        <f aca="false">IF(F32="Pass","Locked","Locked - Flagged")</f>
        <v>Locked</v>
      </c>
    </row>
    <row r="33" customFormat="false" ht="15" hidden="false" customHeight="true" outlineLevel="0" collapsed="false">
      <c r="A33" s="8" t="s">
        <v>127</v>
      </c>
      <c r="B33" s="8" t="s">
        <v>71</v>
      </c>
      <c r="C33" s="9" t="n">
        <v>45697</v>
      </c>
      <c r="D33" s="8" t="n">
        <v>20</v>
      </c>
      <c r="E33" s="12" t="n">
        <v>9E-005</v>
      </c>
      <c r="F33" s="8" t="str">
        <f aca="false">IF(E33&lt;=$B$3,"Pass","Fail")</f>
        <v>Pass</v>
      </c>
      <c r="G33" s="8" t="s">
        <v>102</v>
      </c>
      <c r="H33" s="8" t="s">
        <v>103</v>
      </c>
      <c r="I33" s="8" t="str">
        <f aca="false">IF(F33="Pass","Locked","Locked - Flagged")</f>
        <v>Locked</v>
      </c>
    </row>
    <row r="34" customFormat="false" ht="15" hidden="false" customHeight="true" outlineLevel="0" collapsed="false">
      <c r="A34" s="8" t="s">
        <v>128</v>
      </c>
      <c r="B34" s="8" t="s">
        <v>73</v>
      </c>
      <c r="C34" s="9" t="n">
        <v>45708</v>
      </c>
      <c r="D34" s="8" t="n">
        <v>16</v>
      </c>
      <c r="E34" s="12" t="n">
        <v>4E-005</v>
      </c>
      <c r="F34" s="8" t="str">
        <f aca="false">IF(E34&lt;=$B$3,"Pass","Fail")</f>
        <v>Pass</v>
      </c>
      <c r="G34" s="8" t="s">
        <v>93</v>
      </c>
      <c r="H34" s="8" t="s">
        <v>94</v>
      </c>
      <c r="I34" s="8" t="str">
        <f aca="false">IF(F34="Pass","Locked","Locked - Flagged")</f>
        <v>Locked</v>
      </c>
    </row>
    <row r="35" customFormat="false" ht="15" hidden="false" customHeight="true" outlineLevel="0" collapsed="false">
      <c r="A35" s="8" t="s">
        <v>129</v>
      </c>
      <c r="B35" s="8" t="s">
        <v>73</v>
      </c>
      <c r="C35" s="9" t="n">
        <v>45719</v>
      </c>
      <c r="D35" s="8" t="n">
        <v>20</v>
      </c>
      <c r="E35" s="12" t="n">
        <v>4E-005</v>
      </c>
      <c r="F35" s="8" t="str">
        <f aca="false">IF(E35&lt;=$B$3,"Pass","Fail")</f>
        <v>Pass</v>
      </c>
      <c r="G35" s="8" t="s">
        <v>96</v>
      </c>
      <c r="H35" s="8" t="s">
        <v>97</v>
      </c>
      <c r="I35" s="8" t="str">
        <f aca="false">IF(F35="Pass","Locked","Locked - Flagged")</f>
        <v>Locked</v>
      </c>
    </row>
    <row r="36" customFormat="false" ht="15" hidden="false" customHeight="true" outlineLevel="0" collapsed="false">
      <c r="A36" s="8" t="s">
        <v>130</v>
      </c>
      <c r="B36" s="8" t="s">
        <v>75</v>
      </c>
      <c r="C36" s="9" t="n">
        <v>45730</v>
      </c>
      <c r="D36" s="8" t="n">
        <v>20</v>
      </c>
      <c r="E36" s="12" t="n">
        <v>8E-005</v>
      </c>
      <c r="F36" s="8" t="str">
        <f aca="false">IF(E36&lt;=$B$3,"Pass","Fail")</f>
        <v>Pass</v>
      </c>
      <c r="G36" s="8" t="s">
        <v>99</v>
      </c>
      <c r="H36" s="8" t="s">
        <v>100</v>
      </c>
      <c r="I36" s="8" t="str">
        <f aca="false">IF(F36="Pass","Locked","Locked - Flagged")</f>
        <v>Locked</v>
      </c>
    </row>
    <row r="37" customFormat="false" ht="15" hidden="false" customHeight="true" outlineLevel="0" collapsed="false">
      <c r="A37" s="8" t="s">
        <v>131</v>
      </c>
      <c r="B37" s="8" t="s">
        <v>75</v>
      </c>
      <c r="C37" s="9" t="n">
        <v>45741</v>
      </c>
      <c r="D37" s="8" t="n">
        <v>16</v>
      </c>
      <c r="E37" s="12" t="n">
        <v>0.00012</v>
      </c>
      <c r="F37" s="8" t="str">
        <f aca="false">IF(E37&lt;=$B$3,"Pass","Fail")</f>
        <v>Fail</v>
      </c>
      <c r="G37" s="8" t="s">
        <v>102</v>
      </c>
      <c r="H37" s="8" t="s">
        <v>103</v>
      </c>
      <c r="I37" s="8" t="str">
        <f aca="false">IF(F37="Pass","Locked","Locked - Flagged")</f>
        <v>Locked - Flagged</v>
      </c>
    </row>
    <row r="38" customFormat="false" ht="15" hidden="false" customHeight="true" outlineLevel="0" collapsed="false">
      <c r="A38" s="8" t="s">
        <v>132</v>
      </c>
      <c r="B38" s="8" t="s">
        <v>77</v>
      </c>
      <c r="C38" s="9" t="n">
        <v>45752</v>
      </c>
      <c r="D38" s="8" t="n">
        <v>12</v>
      </c>
      <c r="E38" s="12" t="n">
        <v>0.00012</v>
      </c>
      <c r="F38" s="8" t="str">
        <f aca="false">IF(E38&lt;=$B$3,"Pass","Fail")</f>
        <v>Fail</v>
      </c>
      <c r="G38" s="8" t="s">
        <v>93</v>
      </c>
      <c r="H38" s="8" t="s">
        <v>94</v>
      </c>
      <c r="I38" s="8" t="str">
        <f aca="false">IF(F38="Pass","Locked","Locked - Flagged")</f>
        <v>Locked - Flagged</v>
      </c>
    </row>
    <row r="39" customFormat="false" ht="15" hidden="false" customHeight="true" outlineLevel="0" collapsed="false">
      <c r="A39" s="8" t="s">
        <v>133</v>
      </c>
      <c r="B39" s="8" t="s">
        <v>77</v>
      </c>
      <c r="C39" s="9" t="n">
        <v>45763</v>
      </c>
      <c r="D39" s="8" t="n">
        <v>12</v>
      </c>
      <c r="E39" s="12" t="n">
        <v>0.00015</v>
      </c>
      <c r="F39" s="8" t="str">
        <f aca="false">IF(E39&lt;=$B$3,"Pass","Fail")</f>
        <v>Fail</v>
      </c>
      <c r="G39" s="8" t="s">
        <v>96</v>
      </c>
      <c r="H39" s="8" t="s">
        <v>97</v>
      </c>
      <c r="I39" s="8" t="str">
        <f aca="false">IF(F39="Pass","Locked","Locked - Flagged")</f>
        <v>Locked - Flagged</v>
      </c>
    </row>
    <row r="40" customFormat="false" ht="15" hidden="false" customHeight="true" outlineLevel="0" collapsed="false">
      <c r="A40" s="8" t="s">
        <v>134</v>
      </c>
      <c r="B40" s="8" t="s">
        <v>79</v>
      </c>
      <c r="C40" s="9" t="n">
        <v>45774</v>
      </c>
      <c r="D40" s="8" t="n">
        <v>20</v>
      </c>
      <c r="E40" s="12" t="n">
        <v>4E-005</v>
      </c>
      <c r="F40" s="8" t="str">
        <f aca="false">IF(E40&lt;=$B$3,"Pass","Fail")</f>
        <v>Pass</v>
      </c>
      <c r="G40" s="8" t="s">
        <v>99</v>
      </c>
      <c r="H40" s="8" t="s">
        <v>100</v>
      </c>
      <c r="I40" s="8" t="str">
        <f aca="false">IF(F40="Pass","Locked","Locked - Flagged")</f>
        <v>Locked</v>
      </c>
    </row>
    <row r="41" customFormat="false" ht="15" hidden="false" customHeight="true" outlineLevel="0" collapsed="false">
      <c r="A41" s="8" t="s">
        <v>135</v>
      </c>
      <c r="B41" s="8" t="s">
        <v>79</v>
      </c>
      <c r="C41" s="9" t="n">
        <v>45785</v>
      </c>
      <c r="D41" s="8" t="n">
        <v>16</v>
      </c>
      <c r="E41" s="12" t="n">
        <v>6E-005</v>
      </c>
      <c r="F41" s="8" t="str">
        <f aca="false">IF(E41&lt;=$B$3,"Pass","Fail")</f>
        <v>Pass</v>
      </c>
      <c r="G41" s="8" t="s">
        <v>102</v>
      </c>
      <c r="H41" s="8" t="s">
        <v>103</v>
      </c>
      <c r="I41" s="8" t="str">
        <f aca="false">IF(F41="Pass","Locked","Locked - Flagged")</f>
        <v>Locked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12"/>
    <col collapsed="false" customWidth="true" hidden="false" outlineLevel="0" max="4" min="4" style="1" width="24"/>
    <col collapsed="false" customWidth="true" hidden="false" outlineLevel="0" max="5" min="5" style="1" width="15"/>
    <col collapsed="false" customWidth="true" hidden="false" outlineLevel="0" max="6" min="6" style="1" width="13"/>
    <col collapsed="false" customWidth="true" hidden="false" outlineLevel="0" max="7" min="7" style="1" width="15"/>
  </cols>
  <sheetData>
    <row r="1" customFormat="false" ht="17.25" hidden="false" customHeight="true" outlineLevel="0" collapsed="false">
      <c r="A1" s="2" t="s">
        <v>136</v>
      </c>
    </row>
    <row r="2" customFormat="false" ht="15" hidden="false" customHeight="true" outlineLevel="0" collapsed="false">
      <c r="A2" s="3" t="s">
        <v>137</v>
      </c>
    </row>
    <row r="3" customFormat="false" ht="15" hidden="false" customHeight="true" outlineLevel="0" collapsed="false">
      <c r="A3" s="10" t="s">
        <v>138</v>
      </c>
      <c r="C3" s="13" t="n">
        <v>0.35</v>
      </c>
    </row>
    <row r="5" customFormat="false" ht="23.25" hidden="false" customHeight="true" outlineLevel="0" collapsed="false">
      <c r="A5" s="7" t="s">
        <v>139</v>
      </c>
      <c r="B5" s="7" t="s">
        <v>18</v>
      </c>
      <c r="C5" s="7" t="s">
        <v>140</v>
      </c>
      <c r="D5" s="7" t="s">
        <v>141</v>
      </c>
      <c r="E5" s="7" t="s">
        <v>142</v>
      </c>
      <c r="F5" s="7" t="s">
        <v>89</v>
      </c>
      <c r="G5" s="7" t="s">
        <v>143</v>
      </c>
    </row>
    <row r="6" customFormat="false" ht="15" hidden="false" customHeight="true" outlineLevel="0" collapsed="false">
      <c r="A6" s="8" t="s">
        <v>144</v>
      </c>
      <c r="B6" s="8" t="s">
        <v>27</v>
      </c>
      <c r="C6" s="9" t="n">
        <v>45726</v>
      </c>
      <c r="D6" s="8" t="n">
        <v>0.18</v>
      </c>
      <c r="E6" s="8" t="s">
        <v>145</v>
      </c>
      <c r="F6" s="8" t="s">
        <v>93</v>
      </c>
      <c r="G6" s="8" t="str">
        <f aca="false">IF(D6&gt;$C$3,"Breach","OK")</f>
        <v>OK</v>
      </c>
    </row>
    <row r="7" customFormat="false" ht="15" hidden="false" customHeight="true" outlineLevel="0" collapsed="false">
      <c r="A7" s="8" t="s">
        <v>146</v>
      </c>
      <c r="B7" s="8" t="s">
        <v>27</v>
      </c>
      <c r="C7" s="9" t="n">
        <v>45735</v>
      </c>
      <c r="D7" s="8" t="n">
        <v>0.4</v>
      </c>
      <c r="E7" s="8" t="s">
        <v>145</v>
      </c>
      <c r="F7" s="8" t="s">
        <v>96</v>
      </c>
      <c r="G7" s="8" t="str">
        <f aca="false">IF(D7&gt;$C$3,"Breach","OK")</f>
        <v>Breach</v>
      </c>
    </row>
    <row r="8" customFormat="false" ht="15" hidden="false" customHeight="true" outlineLevel="0" collapsed="false">
      <c r="A8" s="8" t="s">
        <v>147</v>
      </c>
      <c r="B8" s="8" t="s">
        <v>27</v>
      </c>
      <c r="C8" s="9" t="n">
        <v>45744</v>
      </c>
      <c r="D8" s="8" t="n">
        <v>0.22</v>
      </c>
      <c r="E8" s="8" t="s">
        <v>148</v>
      </c>
      <c r="F8" s="8" t="s">
        <v>99</v>
      </c>
      <c r="G8" s="8" t="str">
        <f aca="false">IF(D8&gt;$C$3,"Breach","OK")</f>
        <v>OK</v>
      </c>
    </row>
    <row r="9" customFormat="false" ht="15" hidden="false" customHeight="true" outlineLevel="0" collapsed="false">
      <c r="A9" s="8" t="s">
        <v>149</v>
      </c>
      <c r="B9" s="8" t="s">
        <v>34</v>
      </c>
      <c r="C9" s="9" t="n">
        <v>45753</v>
      </c>
      <c r="D9" s="8" t="n">
        <v>0.4</v>
      </c>
      <c r="E9" s="8" t="s">
        <v>145</v>
      </c>
      <c r="F9" s="8" t="s">
        <v>102</v>
      </c>
      <c r="G9" s="8" t="str">
        <f aca="false">IF(D9&gt;$C$3,"Breach","OK")</f>
        <v>Breach</v>
      </c>
    </row>
    <row r="10" customFormat="false" ht="15" hidden="false" customHeight="true" outlineLevel="0" collapsed="false">
      <c r="A10" s="8" t="s">
        <v>150</v>
      </c>
      <c r="B10" s="8" t="s">
        <v>34</v>
      </c>
      <c r="C10" s="9" t="n">
        <v>45762</v>
      </c>
      <c r="D10" s="8" t="n">
        <v>0.18</v>
      </c>
      <c r="E10" s="8" t="s">
        <v>145</v>
      </c>
      <c r="F10" s="8" t="s">
        <v>93</v>
      </c>
      <c r="G10" s="8" t="str">
        <f aca="false">IF(D10&gt;$C$3,"Breach","OK")</f>
        <v>OK</v>
      </c>
    </row>
    <row r="11" customFormat="false" ht="15" hidden="false" customHeight="true" outlineLevel="0" collapsed="false">
      <c r="A11" s="8" t="s">
        <v>151</v>
      </c>
      <c r="B11" s="8" t="s">
        <v>34</v>
      </c>
      <c r="C11" s="9" t="n">
        <v>45771</v>
      </c>
      <c r="D11" s="8" t="n">
        <v>0.28</v>
      </c>
      <c r="E11" s="8" t="s">
        <v>148</v>
      </c>
      <c r="F11" s="8" t="s">
        <v>96</v>
      </c>
      <c r="G11" s="8" t="str">
        <f aca="false">IF(D11&gt;$C$3,"Breach","OK")</f>
        <v>OK</v>
      </c>
    </row>
    <row r="12" customFormat="false" ht="15" hidden="false" customHeight="true" outlineLevel="0" collapsed="false">
      <c r="A12" s="8" t="s">
        <v>152</v>
      </c>
      <c r="B12" s="8" t="s">
        <v>38</v>
      </c>
      <c r="C12" s="9" t="n">
        <v>45780</v>
      </c>
      <c r="D12" s="8" t="n">
        <v>0.25</v>
      </c>
      <c r="E12" s="8" t="s">
        <v>145</v>
      </c>
      <c r="F12" s="8" t="s">
        <v>99</v>
      </c>
      <c r="G12" s="8" t="str">
        <f aca="false">IF(D12&gt;$C$3,"Breach","OK")</f>
        <v>OK</v>
      </c>
    </row>
    <row r="13" customFormat="false" ht="15" hidden="false" customHeight="true" outlineLevel="0" collapsed="false">
      <c r="A13" s="8" t="s">
        <v>153</v>
      </c>
      <c r="B13" s="8" t="s">
        <v>38</v>
      </c>
      <c r="C13" s="9" t="n">
        <v>45789</v>
      </c>
      <c r="D13" s="8" t="n">
        <v>0.28</v>
      </c>
      <c r="E13" s="8" t="s">
        <v>145</v>
      </c>
      <c r="F13" s="8" t="s">
        <v>102</v>
      </c>
      <c r="G13" s="8" t="str">
        <f aca="false">IF(D13&gt;$C$3,"Breach","OK")</f>
        <v>OK</v>
      </c>
    </row>
    <row r="14" customFormat="false" ht="15" hidden="false" customHeight="true" outlineLevel="0" collapsed="false">
      <c r="A14" s="8" t="s">
        <v>154</v>
      </c>
      <c r="B14" s="8" t="s">
        <v>38</v>
      </c>
      <c r="C14" s="9" t="n">
        <v>45798</v>
      </c>
      <c r="D14" s="8" t="n">
        <v>0.37</v>
      </c>
      <c r="E14" s="8" t="s">
        <v>148</v>
      </c>
      <c r="F14" s="8" t="s">
        <v>93</v>
      </c>
      <c r="G14" s="8" t="str">
        <f aca="false">IF(D14&gt;$C$3,"Breach","OK")</f>
        <v>Breach</v>
      </c>
    </row>
    <row r="15" customFormat="false" ht="15" hidden="false" customHeight="true" outlineLevel="0" collapsed="false">
      <c r="A15" s="8" t="s">
        <v>155</v>
      </c>
      <c r="B15" s="8" t="s">
        <v>44</v>
      </c>
      <c r="C15" s="9" t="n">
        <v>45807</v>
      </c>
      <c r="D15" s="8" t="n">
        <v>0.4</v>
      </c>
      <c r="E15" s="8" t="s">
        <v>145</v>
      </c>
      <c r="F15" s="8" t="s">
        <v>96</v>
      </c>
      <c r="G15" s="8" t="str">
        <f aca="false">IF(D15&gt;$C$3,"Breach","OK")</f>
        <v>Breach</v>
      </c>
    </row>
    <row r="16" customFormat="false" ht="15" hidden="false" customHeight="true" outlineLevel="0" collapsed="false">
      <c r="A16" s="8" t="s">
        <v>156</v>
      </c>
      <c r="B16" s="8" t="s">
        <v>44</v>
      </c>
      <c r="C16" s="9" t="n">
        <v>45816</v>
      </c>
      <c r="D16" s="8" t="n">
        <v>0.25</v>
      </c>
      <c r="E16" s="8" t="s">
        <v>145</v>
      </c>
      <c r="F16" s="8" t="s">
        <v>99</v>
      </c>
      <c r="G16" s="8" t="str">
        <f aca="false">IF(D16&gt;$C$3,"Breach","OK")</f>
        <v>OK</v>
      </c>
    </row>
    <row r="17" customFormat="false" ht="15" hidden="false" customHeight="true" outlineLevel="0" collapsed="false">
      <c r="A17" s="8" t="s">
        <v>157</v>
      </c>
      <c r="B17" s="8" t="s">
        <v>44</v>
      </c>
      <c r="C17" s="9" t="n">
        <v>45825</v>
      </c>
      <c r="D17" s="8" t="n">
        <v>0.22</v>
      </c>
      <c r="E17" s="8" t="s">
        <v>148</v>
      </c>
      <c r="F17" s="8" t="s">
        <v>102</v>
      </c>
      <c r="G17" s="8" t="str">
        <f aca="false">IF(D17&gt;$C$3,"Breach","OK")</f>
        <v>OK</v>
      </c>
    </row>
    <row r="18" customFormat="false" ht="15" hidden="false" customHeight="true" outlineLevel="0" collapsed="false">
      <c r="A18" s="8" t="s">
        <v>158</v>
      </c>
      <c r="B18" s="8" t="s">
        <v>49</v>
      </c>
      <c r="C18" s="9" t="n">
        <v>45834</v>
      </c>
      <c r="D18" s="8" t="n">
        <v>0.25</v>
      </c>
      <c r="E18" s="8" t="s">
        <v>145</v>
      </c>
      <c r="F18" s="8" t="s">
        <v>93</v>
      </c>
      <c r="G18" s="8" t="str">
        <f aca="false">IF(D18&gt;$C$3,"Breach","OK")</f>
        <v>OK</v>
      </c>
    </row>
    <row r="19" customFormat="false" ht="15" hidden="false" customHeight="true" outlineLevel="0" collapsed="false">
      <c r="A19" s="8" t="s">
        <v>159</v>
      </c>
      <c r="B19" s="8" t="s">
        <v>49</v>
      </c>
      <c r="C19" s="9" t="n">
        <v>45843</v>
      </c>
      <c r="D19" s="8" t="n">
        <v>0.25</v>
      </c>
      <c r="E19" s="8" t="s">
        <v>145</v>
      </c>
      <c r="F19" s="8" t="s">
        <v>96</v>
      </c>
      <c r="G19" s="8" t="str">
        <f aca="false">IF(D19&gt;$C$3,"Breach","OK")</f>
        <v>OK</v>
      </c>
    </row>
    <row r="20" customFormat="false" ht="15" hidden="false" customHeight="true" outlineLevel="0" collapsed="false">
      <c r="A20" s="8" t="s">
        <v>160</v>
      </c>
      <c r="B20" s="8" t="s">
        <v>49</v>
      </c>
      <c r="C20" s="9" t="n">
        <v>45852</v>
      </c>
      <c r="D20" s="8" t="n">
        <v>0.22</v>
      </c>
      <c r="E20" s="8" t="s">
        <v>148</v>
      </c>
      <c r="F20" s="8" t="s">
        <v>99</v>
      </c>
      <c r="G20" s="8" t="str">
        <f aca="false">IF(D20&gt;$C$3,"Breach","OK")</f>
        <v>OK</v>
      </c>
    </row>
    <row r="21" customFormat="false" ht="15" hidden="false" customHeight="true" outlineLevel="0" collapsed="false">
      <c r="A21" s="8" t="s">
        <v>161</v>
      </c>
      <c r="B21" s="8" t="s">
        <v>54</v>
      </c>
      <c r="C21" s="9" t="n">
        <v>45861</v>
      </c>
      <c r="D21" s="8" t="n">
        <v>0.37</v>
      </c>
      <c r="E21" s="8" t="s">
        <v>145</v>
      </c>
      <c r="F21" s="8" t="s">
        <v>102</v>
      </c>
      <c r="G21" s="8" t="str">
        <f aca="false">IF(D21&gt;$C$3,"Breach","OK")</f>
        <v>Breach</v>
      </c>
    </row>
    <row r="22" customFormat="false" ht="15" hidden="false" customHeight="true" outlineLevel="0" collapsed="false">
      <c r="A22" s="8" t="s">
        <v>162</v>
      </c>
      <c r="B22" s="8" t="s">
        <v>54</v>
      </c>
      <c r="C22" s="9" t="n">
        <v>45870</v>
      </c>
      <c r="D22" s="8" t="n">
        <v>0.25</v>
      </c>
      <c r="E22" s="8" t="s">
        <v>145</v>
      </c>
      <c r="F22" s="8" t="s">
        <v>93</v>
      </c>
      <c r="G22" s="8" t="str">
        <f aca="false">IF(D22&gt;$C$3,"Breach","OK")</f>
        <v>OK</v>
      </c>
    </row>
    <row r="23" customFormat="false" ht="15" hidden="false" customHeight="true" outlineLevel="0" collapsed="false">
      <c r="A23" s="8" t="s">
        <v>163</v>
      </c>
      <c r="B23" s="8" t="s">
        <v>54</v>
      </c>
      <c r="C23" s="9" t="n">
        <v>45879</v>
      </c>
      <c r="D23" s="8" t="n">
        <v>0.37</v>
      </c>
      <c r="E23" s="8" t="s">
        <v>148</v>
      </c>
      <c r="F23" s="8" t="s">
        <v>96</v>
      </c>
      <c r="G23" s="8" t="str">
        <f aca="false">IF(D23&gt;$C$3,"Breach","OK")</f>
        <v>Breach</v>
      </c>
    </row>
    <row r="24" customFormat="false" ht="15" hidden="false" customHeight="true" outlineLevel="0" collapsed="false">
      <c r="A24" s="8" t="s">
        <v>164</v>
      </c>
      <c r="B24" s="8" t="s">
        <v>57</v>
      </c>
      <c r="C24" s="9" t="n">
        <v>45888</v>
      </c>
      <c r="D24" s="8" t="n">
        <v>0.37</v>
      </c>
      <c r="E24" s="8" t="s">
        <v>145</v>
      </c>
      <c r="F24" s="8" t="s">
        <v>99</v>
      </c>
      <c r="G24" s="8" t="str">
        <f aca="false">IF(D24&gt;$C$3,"Breach","OK")</f>
        <v>Breach</v>
      </c>
    </row>
    <row r="25" customFormat="false" ht="15" hidden="false" customHeight="true" outlineLevel="0" collapsed="false">
      <c r="A25" s="8" t="s">
        <v>165</v>
      </c>
      <c r="B25" s="8" t="s">
        <v>57</v>
      </c>
      <c r="C25" s="9" t="n">
        <v>45897</v>
      </c>
      <c r="D25" s="8" t="n">
        <v>0.37</v>
      </c>
      <c r="E25" s="8" t="s">
        <v>145</v>
      </c>
      <c r="F25" s="8" t="s">
        <v>102</v>
      </c>
      <c r="G25" s="8" t="str">
        <f aca="false">IF(D25&gt;$C$3,"Breach","OK")</f>
        <v>Breach</v>
      </c>
    </row>
    <row r="26" customFormat="false" ht="15" hidden="false" customHeight="true" outlineLevel="0" collapsed="false">
      <c r="A26" s="8" t="s">
        <v>166</v>
      </c>
      <c r="B26" s="8" t="s">
        <v>57</v>
      </c>
      <c r="C26" s="9" t="n">
        <v>45906</v>
      </c>
      <c r="D26" s="8" t="n">
        <v>0.18</v>
      </c>
      <c r="E26" s="8" t="s">
        <v>148</v>
      </c>
      <c r="F26" s="8" t="s">
        <v>93</v>
      </c>
      <c r="G26" s="8" t="str">
        <f aca="false">IF(D26&gt;$C$3,"Breach","OK")</f>
        <v>OK</v>
      </c>
    </row>
    <row r="27" customFormat="false" ht="15" hidden="false" customHeight="true" outlineLevel="0" collapsed="false">
      <c r="A27" s="8" t="s">
        <v>167</v>
      </c>
      <c r="B27" s="8" t="s">
        <v>59</v>
      </c>
      <c r="C27" s="9" t="n">
        <v>45915</v>
      </c>
      <c r="D27" s="8" t="n">
        <v>0.31</v>
      </c>
      <c r="E27" s="8" t="s">
        <v>145</v>
      </c>
      <c r="F27" s="8" t="s">
        <v>96</v>
      </c>
      <c r="G27" s="8" t="str">
        <f aca="false">IF(D27&gt;$C$3,"Breach","OK")</f>
        <v>OK</v>
      </c>
    </row>
    <row r="28" customFormat="false" ht="15" hidden="false" customHeight="true" outlineLevel="0" collapsed="false">
      <c r="A28" s="8" t="s">
        <v>168</v>
      </c>
      <c r="B28" s="8" t="s">
        <v>59</v>
      </c>
      <c r="C28" s="9" t="n">
        <v>45924</v>
      </c>
      <c r="D28" s="8" t="n">
        <v>0.37</v>
      </c>
      <c r="E28" s="8" t="s">
        <v>145</v>
      </c>
      <c r="F28" s="8" t="s">
        <v>99</v>
      </c>
      <c r="G28" s="8" t="str">
        <f aca="false">IF(D28&gt;$C$3,"Breach","OK")</f>
        <v>Breach</v>
      </c>
    </row>
    <row r="29" customFormat="false" ht="15" hidden="false" customHeight="true" outlineLevel="0" collapsed="false">
      <c r="A29" s="8" t="s">
        <v>169</v>
      </c>
      <c r="B29" s="8" t="s">
        <v>59</v>
      </c>
      <c r="C29" s="9" t="n">
        <v>45933</v>
      </c>
      <c r="D29" s="8" t="n">
        <v>0.22</v>
      </c>
      <c r="E29" s="8" t="s">
        <v>148</v>
      </c>
      <c r="F29" s="8" t="s">
        <v>102</v>
      </c>
      <c r="G29" s="8" t="str">
        <f aca="false">IF(D29&gt;$C$3,"Breach","OK")</f>
        <v>OK</v>
      </c>
    </row>
    <row r="30" customFormat="false" ht="15" hidden="false" customHeight="true" outlineLevel="0" collapsed="false">
      <c r="A30" s="8" t="s">
        <v>170</v>
      </c>
      <c r="B30" s="8" t="s">
        <v>61</v>
      </c>
      <c r="C30" s="9" t="n">
        <v>45942</v>
      </c>
      <c r="D30" s="8" t="n">
        <v>0.31</v>
      </c>
      <c r="E30" s="8" t="s">
        <v>145</v>
      </c>
      <c r="F30" s="8" t="s">
        <v>93</v>
      </c>
      <c r="G30" s="8" t="str">
        <f aca="false">IF(D30&gt;$C$3,"Breach","OK")</f>
        <v>OK</v>
      </c>
    </row>
    <row r="31" customFormat="false" ht="15" hidden="false" customHeight="true" outlineLevel="0" collapsed="false">
      <c r="A31" s="8" t="s">
        <v>171</v>
      </c>
      <c r="B31" s="8" t="s">
        <v>61</v>
      </c>
      <c r="C31" s="9" t="n">
        <v>45951</v>
      </c>
      <c r="D31" s="8" t="n">
        <v>0.37</v>
      </c>
      <c r="E31" s="8" t="s">
        <v>145</v>
      </c>
      <c r="F31" s="8" t="s">
        <v>96</v>
      </c>
      <c r="G31" s="8" t="str">
        <f aca="false">IF(D31&gt;$C$3,"Breach","OK")</f>
        <v>Breach</v>
      </c>
    </row>
    <row r="32" customFormat="false" ht="15" hidden="false" customHeight="true" outlineLevel="0" collapsed="false">
      <c r="A32" s="8" t="s">
        <v>172</v>
      </c>
      <c r="B32" s="8" t="s">
        <v>61</v>
      </c>
      <c r="C32" s="9" t="n">
        <v>45960</v>
      </c>
      <c r="D32" s="8" t="n">
        <v>0.22</v>
      </c>
      <c r="E32" s="8" t="s">
        <v>148</v>
      </c>
      <c r="F32" s="8" t="s">
        <v>99</v>
      </c>
      <c r="G32" s="8" t="str">
        <f aca="false">IF(D32&gt;$C$3,"Breach","OK")</f>
        <v>OK</v>
      </c>
    </row>
    <row r="33" customFormat="false" ht="15" hidden="false" customHeight="true" outlineLevel="0" collapsed="false">
      <c r="A33" s="8" t="s">
        <v>173</v>
      </c>
      <c r="B33" s="8" t="s">
        <v>63</v>
      </c>
      <c r="C33" s="9" t="n">
        <v>45719</v>
      </c>
      <c r="D33" s="8" t="n">
        <v>0.22</v>
      </c>
      <c r="E33" s="8" t="s">
        <v>145</v>
      </c>
      <c r="F33" s="8" t="s">
        <v>102</v>
      </c>
      <c r="G33" s="8" t="str">
        <f aca="false">IF(D33&gt;$C$3,"Breach","OK")</f>
        <v>OK</v>
      </c>
    </row>
    <row r="34" customFormat="false" ht="15" hidden="false" customHeight="true" outlineLevel="0" collapsed="false">
      <c r="A34" s="8" t="s">
        <v>174</v>
      </c>
      <c r="B34" s="8" t="s">
        <v>63</v>
      </c>
      <c r="C34" s="9" t="n">
        <v>45728</v>
      </c>
      <c r="D34" s="8" t="n">
        <v>0.28</v>
      </c>
      <c r="E34" s="8" t="s">
        <v>145</v>
      </c>
      <c r="F34" s="8" t="s">
        <v>93</v>
      </c>
      <c r="G34" s="8" t="str">
        <f aca="false">IF(D34&gt;$C$3,"Breach","OK")</f>
        <v>OK</v>
      </c>
    </row>
    <row r="35" customFormat="false" ht="15" hidden="false" customHeight="true" outlineLevel="0" collapsed="false">
      <c r="A35" s="8" t="s">
        <v>175</v>
      </c>
      <c r="B35" s="8" t="s">
        <v>63</v>
      </c>
      <c r="C35" s="9" t="n">
        <v>45737</v>
      </c>
      <c r="D35" s="8" t="n">
        <v>0.28</v>
      </c>
      <c r="E35" s="8" t="s">
        <v>148</v>
      </c>
      <c r="F35" s="8" t="s">
        <v>96</v>
      </c>
      <c r="G35" s="8" t="str">
        <f aca="false">IF(D35&gt;$C$3,"Breach","OK")</f>
        <v>OK</v>
      </c>
    </row>
    <row r="36" customFormat="false" ht="15" hidden="false" customHeight="true" outlineLevel="0" collapsed="false">
      <c r="A36" s="8" t="s">
        <v>176</v>
      </c>
      <c r="B36" s="8" t="s">
        <v>65</v>
      </c>
      <c r="C36" s="9" t="n">
        <v>45746</v>
      </c>
      <c r="D36" s="8" t="n">
        <v>0.25</v>
      </c>
      <c r="E36" s="8" t="s">
        <v>145</v>
      </c>
      <c r="F36" s="8" t="s">
        <v>99</v>
      </c>
      <c r="G36" s="8" t="str">
        <f aca="false">IF(D36&gt;$C$3,"Breach","OK")</f>
        <v>OK</v>
      </c>
    </row>
    <row r="37" customFormat="false" ht="15" hidden="false" customHeight="true" outlineLevel="0" collapsed="false">
      <c r="A37" s="8" t="s">
        <v>177</v>
      </c>
      <c r="B37" s="8" t="s">
        <v>65</v>
      </c>
      <c r="C37" s="9" t="n">
        <v>45755</v>
      </c>
      <c r="D37" s="8" t="n">
        <v>0.37</v>
      </c>
      <c r="E37" s="8" t="s">
        <v>145</v>
      </c>
      <c r="F37" s="8" t="s">
        <v>102</v>
      </c>
      <c r="G37" s="8" t="str">
        <f aca="false">IF(D37&gt;$C$3,"Breach","OK")</f>
        <v>Breach</v>
      </c>
    </row>
    <row r="38" customFormat="false" ht="15" hidden="false" customHeight="true" outlineLevel="0" collapsed="false">
      <c r="A38" s="8" t="s">
        <v>178</v>
      </c>
      <c r="B38" s="8" t="s">
        <v>65</v>
      </c>
      <c r="C38" s="9" t="n">
        <v>45764</v>
      </c>
      <c r="D38" s="8" t="n">
        <v>0.37</v>
      </c>
      <c r="E38" s="8" t="s">
        <v>148</v>
      </c>
      <c r="F38" s="8" t="s">
        <v>93</v>
      </c>
      <c r="G38" s="8" t="str">
        <f aca="false">IF(D38&gt;$C$3,"Breach","OK")</f>
        <v>Breach</v>
      </c>
    </row>
    <row r="39" customFormat="false" ht="15" hidden="false" customHeight="true" outlineLevel="0" collapsed="false">
      <c r="A39" s="8" t="s">
        <v>179</v>
      </c>
      <c r="B39" s="8" t="s">
        <v>67</v>
      </c>
      <c r="C39" s="9" t="n">
        <v>45773</v>
      </c>
      <c r="D39" s="8" t="n">
        <v>0.31</v>
      </c>
      <c r="E39" s="8" t="s">
        <v>145</v>
      </c>
      <c r="F39" s="8" t="s">
        <v>96</v>
      </c>
      <c r="G39" s="8" t="str">
        <f aca="false">IF(D39&gt;$C$3,"Breach","OK")</f>
        <v>OK</v>
      </c>
    </row>
    <row r="40" customFormat="false" ht="15" hidden="false" customHeight="true" outlineLevel="0" collapsed="false">
      <c r="A40" s="8" t="s">
        <v>180</v>
      </c>
      <c r="B40" s="8" t="s">
        <v>67</v>
      </c>
      <c r="C40" s="9" t="n">
        <v>45782</v>
      </c>
      <c r="D40" s="8" t="n">
        <v>0.22</v>
      </c>
      <c r="E40" s="8" t="s">
        <v>145</v>
      </c>
      <c r="F40" s="8" t="s">
        <v>99</v>
      </c>
      <c r="G40" s="8" t="str">
        <f aca="false">IF(D40&gt;$C$3,"Breach","OK")</f>
        <v>OK</v>
      </c>
    </row>
    <row r="41" customFormat="false" ht="15" hidden="false" customHeight="true" outlineLevel="0" collapsed="false">
      <c r="A41" s="8" t="s">
        <v>181</v>
      </c>
      <c r="B41" s="8" t="s">
        <v>67</v>
      </c>
      <c r="C41" s="9" t="n">
        <v>45791</v>
      </c>
      <c r="D41" s="8" t="n">
        <v>0.37</v>
      </c>
      <c r="E41" s="8" t="s">
        <v>148</v>
      </c>
      <c r="F41" s="8" t="s">
        <v>102</v>
      </c>
      <c r="G41" s="8" t="str">
        <f aca="false">IF(D41&gt;$C$3,"Breach","OK")</f>
        <v>Breach</v>
      </c>
    </row>
    <row r="42" customFormat="false" ht="15" hidden="false" customHeight="true" outlineLevel="0" collapsed="false">
      <c r="A42" s="8" t="s">
        <v>182</v>
      </c>
      <c r="B42" s="8" t="s">
        <v>69</v>
      </c>
      <c r="C42" s="9" t="n">
        <v>45800</v>
      </c>
      <c r="D42" s="8" t="n">
        <v>0.25</v>
      </c>
      <c r="E42" s="8" t="s">
        <v>145</v>
      </c>
      <c r="F42" s="8" t="s">
        <v>93</v>
      </c>
      <c r="G42" s="8" t="str">
        <f aca="false">IF(D42&gt;$C$3,"Breach","OK")</f>
        <v>OK</v>
      </c>
    </row>
    <row r="43" customFormat="false" ht="15" hidden="false" customHeight="true" outlineLevel="0" collapsed="false">
      <c r="A43" s="8" t="s">
        <v>183</v>
      </c>
      <c r="B43" s="8" t="s">
        <v>69</v>
      </c>
      <c r="C43" s="9" t="n">
        <v>45809</v>
      </c>
      <c r="D43" s="8" t="n">
        <v>0.4</v>
      </c>
      <c r="E43" s="8" t="s">
        <v>145</v>
      </c>
      <c r="F43" s="8" t="s">
        <v>96</v>
      </c>
      <c r="G43" s="8" t="str">
        <f aca="false">IF(D43&gt;$C$3,"Breach","OK")</f>
        <v>Breach</v>
      </c>
    </row>
    <row r="44" customFormat="false" ht="15" hidden="false" customHeight="true" outlineLevel="0" collapsed="false">
      <c r="A44" s="8" t="s">
        <v>184</v>
      </c>
      <c r="B44" s="8" t="s">
        <v>69</v>
      </c>
      <c r="C44" s="9" t="n">
        <v>45818</v>
      </c>
      <c r="D44" s="8" t="n">
        <v>0.4</v>
      </c>
      <c r="E44" s="8" t="s">
        <v>148</v>
      </c>
      <c r="F44" s="8" t="s">
        <v>99</v>
      </c>
      <c r="G44" s="8" t="str">
        <f aca="false">IF(D44&gt;$C$3,"Breach","OK")</f>
        <v>Breach</v>
      </c>
    </row>
    <row r="45" customFormat="false" ht="15" hidden="false" customHeight="true" outlineLevel="0" collapsed="false">
      <c r="A45" s="8" t="s">
        <v>185</v>
      </c>
      <c r="B45" s="8" t="s">
        <v>71</v>
      </c>
      <c r="C45" s="9" t="n">
        <v>45827</v>
      </c>
      <c r="D45" s="8" t="n">
        <v>0.4</v>
      </c>
      <c r="E45" s="8" t="s">
        <v>145</v>
      </c>
      <c r="F45" s="8" t="s">
        <v>102</v>
      </c>
      <c r="G45" s="8" t="str">
        <f aca="false">IF(D45&gt;$C$3,"Breach","OK")</f>
        <v>Breach</v>
      </c>
    </row>
    <row r="46" customFormat="false" ht="15" hidden="false" customHeight="true" outlineLevel="0" collapsed="false">
      <c r="A46" s="8" t="s">
        <v>186</v>
      </c>
      <c r="B46" s="8" t="s">
        <v>71</v>
      </c>
      <c r="C46" s="9" t="n">
        <v>45836</v>
      </c>
      <c r="D46" s="8" t="n">
        <v>0.18</v>
      </c>
      <c r="E46" s="8" t="s">
        <v>145</v>
      </c>
      <c r="F46" s="8" t="s">
        <v>93</v>
      </c>
      <c r="G46" s="8" t="str">
        <f aca="false">IF(D46&gt;$C$3,"Breach","OK")</f>
        <v>OK</v>
      </c>
    </row>
    <row r="47" customFormat="false" ht="15" hidden="false" customHeight="true" outlineLevel="0" collapsed="false">
      <c r="A47" s="8" t="s">
        <v>187</v>
      </c>
      <c r="B47" s="8" t="s">
        <v>71</v>
      </c>
      <c r="C47" s="9" t="n">
        <v>45845</v>
      </c>
      <c r="D47" s="8" t="n">
        <v>0.22</v>
      </c>
      <c r="E47" s="8" t="s">
        <v>148</v>
      </c>
      <c r="F47" s="8" t="s">
        <v>96</v>
      </c>
      <c r="G47" s="8" t="str">
        <f aca="false">IF(D47&gt;$C$3,"Breach","OK")</f>
        <v>OK</v>
      </c>
    </row>
    <row r="48" customFormat="false" ht="15" hidden="false" customHeight="true" outlineLevel="0" collapsed="false">
      <c r="A48" s="8" t="s">
        <v>188</v>
      </c>
      <c r="B48" s="8" t="s">
        <v>73</v>
      </c>
      <c r="C48" s="9" t="n">
        <v>45854</v>
      </c>
      <c r="D48" s="8" t="n">
        <v>0.4</v>
      </c>
      <c r="E48" s="8" t="s">
        <v>145</v>
      </c>
      <c r="F48" s="8" t="s">
        <v>99</v>
      </c>
      <c r="G48" s="8" t="str">
        <f aca="false">IF(D48&gt;$C$3,"Breach","OK")</f>
        <v>Breach</v>
      </c>
    </row>
    <row r="49" customFormat="false" ht="15" hidden="false" customHeight="true" outlineLevel="0" collapsed="false">
      <c r="A49" s="8" t="s">
        <v>189</v>
      </c>
      <c r="B49" s="8" t="s">
        <v>73</v>
      </c>
      <c r="C49" s="9" t="n">
        <v>45863</v>
      </c>
      <c r="D49" s="8" t="n">
        <v>0.18</v>
      </c>
      <c r="E49" s="8" t="s">
        <v>145</v>
      </c>
      <c r="F49" s="8" t="s">
        <v>102</v>
      </c>
      <c r="G49" s="8" t="str">
        <f aca="false">IF(D49&gt;$C$3,"Breach","OK")</f>
        <v>OK</v>
      </c>
    </row>
    <row r="50" customFormat="false" ht="15" hidden="false" customHeight="true" outlineLevel="0" collapsed="false">
      <c r="A50" s="8" t="s">
        <v>190</v>
      </c>
      <c r="B50" s="8" t="s">
        <v>73</v>
      </c>
      <c r="C50" s="9" t="n">
        <v>45872</v>
      </c>
      <c r="D50" s="8" t="n">
        <v>0.4</v>
      </c>
      <c r="E50" s="8" t="s">
        <v>148</v>
      </c>
      <c r="F50" s="8" t="s">
        <v>93</v>
      </c>
      <c r="G50" s="8" t="str">
        <f aca="false">IF(D50&gt;$C$3,"Breach","OK")</f>
        <v>Breach</v>
      </c>
    </row>
    <row r="51" customFormat="false" ht="15" hidden="false" customHeight="true" outlineLevel="0" collapsed="false">
      <c r="A51" s="8" t="s">
        <v>191</v>
      </c>
      <c r="B51" s="8" t="s">
        <v>75</v>
      </c>
      <c r="C51" s="9" t="n">
        <v>45881</v>
      </c>
      <c r="D51" s="8" t="n">
        <v>0.25</v>
      </c>
      <c r="E51" s="8" t="s">
        <v>145</v>
      </c>
      <c r="F51" s="8" t="s">
        <v>96</v>
      </c>
      <c r="G51" s="8" t="str">
        <f aca="false">IF(D51&gt;$C$3,"Breach","OK")</f>
        <v>OK</v>
      </c>
    </row>
    <row r="52" customFormat="false" ht="15" hidden="false" customHeight="true" outlineLevel="0" collapsed="false">
      <c r="A52" s="8" t="s">
        <v>192</v>
      </c>
      <c r="B52" s="8" t="s">
        <v>75</v>
      </c>
      <c r="C52" s="9" t="n">
        <v>45890</v>
      </c>
      <c r="D52" s="8" t="n">
        <v>0.28</v>
      </c>
      <c r="E52" s="8" t="s">
        <v>145</v>
      </c>
      <c r="F52" s="8" t="s">
        <v>99</v>
      </c>
      <c r="G52" s="8" t="str">
        <f aca="false">IF(D52&gt;$C$3,"Breach","OK")</f>
        <v>OK</v>
      </c>
    </row>
    <row r="53" customFormat="false" ht="15" hidden="false" customHeight="true" outlineLevel="0" collapsed="false">
      <c r="A53" s="8" t="s">
        <v>193</v>
      </c>
      <c r="B53" s="8" t="s">
        <v>75</v>
      </c>
      <c r="C53" s="9" t="n">
        <v>45899</v>
      </c>
      <c r="D53" s="8" t="n">
        <v>0.25</v>
      </c>
      <c r="E53" s="8" t="s">
        <v>148</v>
      </c>
      <c r="F53" s="8" t="s">
        <v>102</v>
      </c>
      <c r="G53" s="8" t="str">
        <f aca="false">IF(D53&gt;$C$3,"Breach","OK")</f>
        <v>OK</v>
      </c>
    </row>
    <row r="54" customFormat="false" ht="15" hidden="false" customHeight="true" outlineLevel="0" collapsed="false">
      <c r="A54" s="8" t="s">
        <v>194</v>
      </c>
      <c r="B54" s="8" t="s">
        <v>77</v>
      </c>
      <c r="C54" s="9" t="n">
        <v>45908</v>
      </c>
      <c r="D54" s="8" t="n">
        <v>0.18</v>
      </c>
      <c r="E54" s="8" t="s">
        <v>145</v>
      </c>
      <c r="F54" s="8" t="s">
        <v>93</v>
      </c>
      <c r="G54" s="8" t="str">
        <f aca="false">IF(D54&gt;$C$3,"Breach","OK")</f>
        <v>OK</v>
      </c>
    </row>
    <row r="55" customFormat="false" ht="15" hidden="false" customHeight="true" outlineLevel="0" collapsed="false">
      <c r="A55" s="8" t="s">
        <v>195</v>
      </c>
      <c r="B55" s="8" t="s">
        <v>77</v>
      </c>
      <c r="C55" s="9" t="n">
        <v>45917</v>
      </c>
      <c r="D55" s="8" t="n">
        <v>0.22</v>
      </c>
      <c r="E55" s="8" t="s">
        <v>145</v>
      </c>
      <c r="F55" s="8" t="s">
        <v>96</v>
      </c>
      <c r="G55" s="8" t="str">
        <f aca="false">IF(D55&gt;$C$3,"Breach","OK")</f>
        <v>OK</v>
      </c>
    </row>
    <row r="56" customFormat="false" ht="15" hidden="false" customHeight="true" outlineLevel="0" collapsed="false">
      <c r="A56" s="8" t="s">
        <v>196</v>
      </c>
      <c r="B56" s="8" t="s">
        <v>77</v>
      </c>
      <c r="C56" s="9" t="n">
        <v>45926</v>
      </c>
      <c r="D56" s="8" t="n">
        <v>0.31</v>
      </c>
      <c r="E56" s="8" t="s">
        <v>148</v>
      </c>
      <c r="F56" s="8" t="s">
        <v>99</v>
      </c>
      <c r="G56" s="8" t="str">
        <f aca="false">IF(D56&gt;$C$3,"Breach","OK")</f>
        <v>OK</v>
      </c>
    </row>
    <row r="57" customFormat="false" ht="15" hidden="false" customHeight="true" outlineLevel="0" collapsed="false">
      <c r="A57" s="8" t="s">
        <v>197</v>
      </c>
      <c r="B57" s="8" t="s">
        <v>79</v>
      </c>
      <c r="C57" s="9" t="n">
        <v>45935</v>
      </c>
      <c r="D57" s="8" t="n">
        <v>0.37</v>
      </c>
      <c r="E57" s="8" t="s">
        <v>145</v>
      </c>
      <c r="F57" s="8" t="s">
        <v>102</v>
      </c>
      <c r="G57" s="8" t="str">
        <f aca="false">IF(D57&gt;$C$3,"Breach","OK")</f>
        <v>Breach</v>
      </c>
    </row>
    <row r="58" customFormat="false" ht="15" hidden="false" customHeight="true" outlineLevel="0" collapsed="false">
      <c r="A58" s="8" t="s">
        <v>198</v>
      </c>
      <c r="B58" s="8" t="s">
        <v>79</v>
      </c>
      <c r="C58" s="9" t="n">
        <v>45944</v>
      </c>
      <c r="D58" s="8" t="n">
        <v>0.25</v>
      </c>
      <c r="E58" s="8" t="s">
        <v>145</v>
      </c>
      <c r="F58" s="8" t="s">
        <v>93</v>
      </c>
      <c r="G58" s="8" t="str">
        <f aca="false">IF(D58&gt;$C$3,"Breach","OK")</f>
        <v>OK</v>
      </c>
    </row>
    <row r="59" customFormat="false" ht="15" hidden="false" customHeight="true" outlineLevel="0" collapsed="false">
      <c r="A59" s="8" t="s">
        <v>199</v>
      </c>
      <c r="B59" s="8" t="s">
        <v>79</v>
      </c>
      <c r="C59" s="9" t="n">
        <v>45953</v>
      </c>
      <c r="D59" s="8" t="n">
        <v>0.22</v>
      </c>
      <c r="E59" s="8" t="s">
        <v>148</v>
      </c>
      <c r="F59" s="8" t="s">
        <v>96</v>
      </c>
      <c r="G59" s="8" t="str">
        <f aca="false">IF(D59&gt;$C$3,"Breach","OK")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0"/>
    <col collapsed="false" customWidth="true" hidden="false" outlineLevel="0" max="4" min="3" style="1" width="15"/>
    <col collapsed="false" customWidth="true" hidden="false" outlineLevel="0" max="5" min="5" style="1" width="18"/>
    <col collapsed="false" customWidth="true" hidden="false" outlineLevel="0" max="6" min="6" style="1" width="14"/>
    <col collapsed="false" customWidth="true" hidden="false" outlineLevel="0" max="8" min="7" style="1" width="18"/>
    <col collapsed="false" customWidth="true" hidden="false" outlineLevel="0" max="9" min="9" style="1" width="14"/>
    <col collapsed="false" customWidth="true" hidden="false" outlineLevel="0" max="10" min="10" style="1" width="24"/>
  </cols>
  <sheetData>
    <row r="1" customFormat="false" ht="17.25" hidden="false" customHeight="true" outlineLevel="0" collapsed="false">
      <c r="A1" s="2" t="s">
        <v>200</v>
      </c>
    </row>
    <row r="2" customFormat="false" ht="15" hidden="false" customHeight="true" outlineLevel="0" collapsed="false">
      <c r="A2" s="3" t="s">
        <v>201</v>
      </c>
    </row>
    <row r="4" customFormat="false" ht="23.25" hidden="false" customHeight="true" outlineLevel="0" collapsed="false">
      <c r="A4" s="7" t="s">
        <v>202</v>
      </c>
      <c r="B4" s="7" t="s">
        <v>18</v>
      </c>
      <c r="C4" s="7" t="s">
        <v>203</v>
      </c>
      <c r="D4" s="7" t="s">
        <v>204</v>
      </c>
      <c r="E4" s="7" t="s">
        <v>205</v>
      </c>
      <c r="F4" s="7" t="s">
        <v>206</v>
      </c>
      <c r="G4" s="7" t="s">
        <v>207</v>
      </c>
      <c r="H4" s="7" t="s">
        <v>208</v>
      </c>
      <c r="I4" s="7" t="s">
        <v>209</v>
      </c>
      <c r="J4" s="7" t="s">
        <v>210</v>
      </c>
    </row>
    <row r="5" customFormat="false" ht="15" hidden="false" customHeight="true" outlineLevel="0" collapsed="false">
      <c r="A5" s="8" t="s">
        <v>211</v>
      </c>
      <c r="B5" s="8" t="s">
        <v>44</v>
      </c>
      <c r="C5" s="8" t="s">
        <v>212</v>
      </c>
      <c r="D5" s="8" t="s">
        <v>213</v>
      </c>
      <c r="E5" s="8" t="s">
        <v>214</v>
      </c>
      <c r="F5" s="8" t="s">
        <v>215</v>
      </c>
      <c r="G5" s="8" t="s">
        <v>92</v>
      </c>
      <c r="H5" s="8" t="s">
        <v>95</v>
      </c>
      <c r="I5" s="9" t="n">
        <v>45809</v>
      </c>
      <c r="J5" s="8" t="str">
        <f aca="false">IF(AND(G5&lt;&gt;"",H5&lt;&gt;""),"Re-certified","Blocked - awaiting validation")</f>
        <v>Re-certified</v>
      </c>
    </row>
    <row r="6" customFormat="false" ht="15" hidden="false" customHeight="true" outlineLevel="0" collapsed="false">
      <c r="A6" s="8" t="s">
        <v>216</v>
      </c>
      <c r="B6" s="8" t="s">
        <v>49</v>
      </c>
      <c r="C6" s="8" t="s">
        <v>217</v>
      </c>
      <c r="D6" s="8" t="s">
        <v>218</v>
      </c>
      <c r="E6" s="8" t="s">
        <v>219</v>
      </c>
      <c r="F6" s="8" t="s">
        <v>220</v>
      </c>
      <c r="G6" s="8" t="s">
        <v>98</v>
      </c>
      <c r="H6" s="8" t="s">
        <v>101</v>
      </c>
      <c r="I6" s="9" t="n">
        <v>45823</v>
      </c>
      <c r="J6" s="8" t="str">
        <f aca="false">IF(AND(G6&lt;&gt;"",H6&lt;&gt;""),"Re-certified","Blocked - awaiting validation")</f>
        <v>Re-certified</v>
      </c>
    </row>
    <row r="7" customFormat="false" ht="15" hidden="false" customHeight="true" outlineLevel="0" collapsed="false">
      <c r="A7" s="8" t="s">
        <v>221</v>
      </c>
      <c r="B7" s="8" t="s">
        <v>54</v>
      </c>
      <c r="C7" s="8" t="s">
        <v>222</v>
      </c>
      <c r="D7" s="8" t="s">
        <v>223</v>
      </c>
      <c r="E7" s="8" t="s">
        <v>224</v>
      </c>
      <c r="F7" s="8" t="s">
        <v>225</v>
      </c>
      <c r="G7" s="8" t="s">
        <v>104</v>
      </c>
      <c r="H7" s="8" t="s">
        <v>105</v>
      </c>
      <c r="I7" s="9" t="n">
        <v>45837</v>
      </c>
      <c r="J7" s="8" t="str">
        <f aca="false">IF(AND(G7&lt;&gt;"",H7&lt;&gt;""),"Re-certified","Blocked - awaiting validation")</f>
        <v>Re-certified</v>
      </c>
    </row>
    <row r="8" customFormat="false" ht="15" hidden="false" customHeight="true" outlineLevel="0" collapsed="false">
      <c r="A8" s="8" t="s">
        <v>226</v>
      </c>
      <c r="B8" s="8" t="s">
        <v>57</v>
      </c>
      <c r="C8" s="8" t="s">
        <v>227</v>
      </c>
      <c r="D8" s="8" t="s">
        <v>228</v>
      </c>
      <c r="E8" s="8" t="s">
        <v>229</v>
      </c>
      <c r="F8" s="8" t="s">
        <v>230</v>
      </c>
      <c r="G8" s="8" t="s">
        <v>106</v>
      </c>
      <c r="H8" s="8"/>
      <c r="I8" s="9" t="n">
        <v>45851</v>
      </c>
      <c r="J8" s="8" t="str">
        <f aca="false">IF(AND(G8&lt;&gt;"",H8&lt;&gt;""),"Re-certified","Blocked - awaiting validation")</f>
        <v>Blocked - awaiting validation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30"/>
    <col collapsed="false" customWidth="true" hidden="false" outlineLevel="0" max="4" min="4" style="1" width="2"/>
  </cols>
  <sheetData>
    <row r="1" customFormat="false" ht="17.25" hidden="false" customHeight="true" outlineLevel="0" collapsed="false">
      <c r="A1" s="2" t="s">
        <v>231</v>
      </c>
    </row>
    <row r="2" customFormat="false" ht="15" hidden="false" customHeight="true" outlineLevel="0" collapsed="false">
      <c r="A2" s="3" t="s">
        <v>232</v>
      </c>
    </row>
    <row r="4" customFormat="false" ht="15" hidden="false" customHeight="true" outlineLevel="0" collapsed="false">
      <c r="A4" s="7" t="s">
        <v>233</v>
      </c>
      <c r="B4" s="7" t="s">
        <v>234</v>
      </c>
      <c r="C4" s="7" t="s">
        <v>235</v>
      </c>
    </row>
    <row r="5" customFormat="false" ht="15" hidden="false" customHeight="true" outlineLevel="0" collapsed="false">
      <c r="A5" s="8" t="s">
        <v>236</v>
      </c>
      <c r="B5" s="8" t="n">
        <f aca="false">COUNTA('Filter Asset Registry'!A5:A22)</f>
        <v>18</v>
      </c>
      <c r="C5" s="8" t="s">
        <v>16</v>
      </c>
    </row>
    <row r="6" customFormat="false" ht="15" hidden="false" customHeight="true" outlineLevel="0" collapsed="false">
      <c r="A6" s="8" t="s">
        <v>237</v>
      </c>
      <c r="B6" s="8" t="n">
        <f aca="false">COUNTIF('Filter Asset Registry'!I5:I22,"Flagged")+COUNTIF('Filter Asset Registry'!I5:I22,"Pending Replacement")</f>
        <v>4</v>
      </c>
      <c r="C6" s="8" t="s">
        <v>16</v>
      </c>
    </row>
    <row r="7" customFormat="false" ht="15" hidden="false" customHeight="true" outlineLevel="0" collapsed="false">
      <c r="A7" s="8" t="s">
        <v>238</v>
      </c>
      <c r="B7" s="8" t="n">
        <f aca="false">COUNTA('DOP-PAO Test Records'!A6:A41)</f>
        <v>36</v>
      </c>
      <c r="C7" s="8" t="s">
        <v>239</v>
      </c>
    </row>
    <row r="8" customFormat="false" ht="15" hidden="false" customHeight="true" outlineLevel="0" collapsed="false">
      <c r="A8" s="8" t="s">
        <v>240</v>
      </c>
      <c r="B8" s="14" t="n">
        <f aca="false">COUNTIF('DOP-PAO Test Records'!F6:F41,"Pass")/COUNTA('DOP-PAO Test Records'!F6:F41)</f>
        <v>0.638888888888889</v>
      </c>
      <c r="C8" s="8" t="s">
        <v>239</v>
      </c>
    </row>
    <row r="9" customFormat="false" ht="15" hidden="false" customHeight="true" outlineLevel="0" collapsed="false">
      <c r="A9" s="8" t="s">
        <v>241</v>
      </c>
      <c r="B9" s="8" t="n">
        <f aca="false">COUNTA('Leak Detection Records'!A6:A59)</f>
        <v>54</v>
      </c>
      <c r="C9" s="8" t="s">
        <v>242</v>
      </c>
    </row>
    <row r="10" customFormat="false" ht="15" hidden="false" customHeight="true" outlineLevel="0" collapsed="false">
      <c r="A10" s="8" t="s">
        <v>243</v>
      </c>
      <c r="B10" s="8" t="n">
        <f aca="false">COUNTIF('Leak Detection Records'!G6:G59,"Breach")</f>
        <v>19</v>
      </c>
      <c r="C10" s="8" t="s">
        <v>242</v>
      </c>
    </row>
    <row r="11" customFormat="false" ht="15" hidden="false" customHeight="true" outlineLevel="0" collapsed="false">
      <c r="A11" s="8" t="s">
        <v>244</v>
      </c>
      <c r="B11" s="8" t="n">
        <f aca="false">COUNTA('Replacement Records'!A5:A8)</f>
        <v>4</v>
      </c>
      <c r="C11" s="8" t="s">
        <v>245</v>
      </c>
    </row>
    <row r="12" customFormat="false" ht="15" hidden="false" customHeight="true" outlineLevel="0" collapsed="false">
      <c r="A12" s="8" t="s">
        <v>246</v>
      </c>
      <c r="B12" s="8" t="n">
        <f aca="false">COUNTIF('Replacement Records'!J5:J8,"Blocked - awaiting validation")</f>
        <v>1</v>
      </c>
      <c r="C12" s="8" t="s">
        <v>245</v>
      </c>
    </row>
    <row r="13" customFormat="false" ht="15" hidden="false" customHeight="true" outlineLevel="0" collapsed="false">
      <c r="A13" s="8" t="s">
        <v>247</v>
      </c>
      <c r="B13" s="14" t="n">
        <f aca="false">B8*(1-(B10/B9))</f>
        <v>0.414094650205761</v>
      </c>
      <c r="C13" s="8"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5"/>
    <col collapsed="false" customWidth="true" hidden="false" outlineLevel="0" max="3" min="3" style="1" width="24"/>
    <col collapsed="false" customWidth="true" hidden="false" outlineLevel="0" max="4" min="4" style="1" width="15"/>
    <col collapsed="false" customWidth="true" hidden="false" outlineLevel="0" max="5" min="5" style="1" width="26"/>
    <col collapsed="false" customWidth="true" hidden="false" outlineLevel="0" max="6" min="6" style="1" width="20"/>
    <col collapsed="false" customWidth="true" hidden="false" outlineLevel="0" max="7" min="7" style="1" width="16"/>
    <col collapsed="false" customWidth="true" hidden="false" outlineLevel="0" max="8" min="8" style="1" width="20"/>
  </cols>
  <sheetData>
    <row r="1" customFormat="false" ht="17.25" hidden="false" customHeight="true" outlineLevel="0" collapsed="false">
      <c r="A1" s="2" t="s">
        <v>249</v>
      </c>
    </row>
    <row r="2" customFormat="false" ht="15" hidden="false" customHeight="true" outlineLevel="0" collapsed="false">
      <c r="A2" s="3" t="s">
        <v>250</v>
      </c>
    </row>
    <row r="4" customFormat="false" ht="23.25" hidden="false" customHeight="true" outlineLevel="0" collapsed="false">
      <c r="A4" s="15" t="s">
        <v>251</v>
      </c>
      <c r="B4" s="15" t="s">
        <v>252</v>
      </c>
      <c r="C4" s="15" t="s">
        <v>253</v>
      </c>
      <c r="D4" s="15" t="s">
        <v>254</v>
      </c>
      <c r="E4" s="15" t="s">
        <v>255</v>
      </c>
      <c r="F4" s="15" t="s">
        <v>256</v>
      </c>
      <c r="G4" s="15" t="s">
        <v>257</v>
      </c>
      <c r="H4" s="15" t="s">
        <v>258</v>
      </c>
    </row>
    <row r="5" customFormat="false" ht="15" hidden="false" customHeight="true" outlineLevel="0" collapsed="false">
      <c r="A5" s="8" t="s">
        <v>27</v>
      </c>
      <c r="B5" s="8" t="s">
        <v>259</v>
      </c>
      <c r="C5" s="8" t="s">
        <v>260</v>
      </c>
      <c r="D5" s="8" t="s">
        <v>261</v>
      </c>
      <c r="E5" s="8" t="s">
        <v>262</v>
      </c>
      <c r="F5" s="8" t="s">
        <v>263</v>
      </c>
      <c r="G5" s="9" t="n">
        <v>45839</v>
      </c>
      <c r="H5" s="8" t="s">
        <v>264</v>
      </c>
    </row>
    <row r="6" customFormat="false" ht="15" hidden="false" customHeight="true" outlineLevel="0" collapsed="false">
      <c r="A6" s="8" t="s">
        <v>34</v>
      </c>
      <c r="B6" s="8" t="s">
        <v>265</v>
      </c>
      <c r="C6" s="8" t="s">
        <v>266</v>
      </c>
      <c r="D6" s="8" t="s">
        <v>267</v>
      </c>
      <c r="E6" s="8" t="s">
        <v>268</v>
      </c>
      <c r="F6" s="8" t="s">
        <v>263</v>
      </c>
      <c r="G6" s="9" t="n">
        <v>45842</v>
      </c>
      <c r="H6" s="8" t="s">
        <v>269</v>
      </c>
    </row>
    <row r="7" customFormat="false" ht="15" hidden="false" customHeight="true" outlineLevel="0" collapsed="false">
      <c r="A7" s="8" t="s">
        <v>38</v>
      </c>
      <c r="B7" s="8" t="s">
        <v>270</v>
      </c>
      <c r="C7" s="8" t="s">
        <v>271</v>
      </c>
      <c r="D7" s="8" t="s">
        <v>272</v>
      </c>
      <c r="E7" s="8" t="s">
        <v>273</v>
      </c>
      <c r="F7" s="8" t="s">
        <v>263</v>
      </c>
      <c r="G7" s="9" t="n">
        <v>45845</v>
      </c>
      <c r="H7" s="8" t="s">
        <v>274</v>
      </c>
    </row>
    <row r="8" customFormat="false" ht="15" hidden="false" customHeight="true" outlineLevel="0" collapsed="false">
      <c r="A8" s="8" t="s">
        <v>44</v>
      </c>
      <c r="B8" s="8" t="s">
        <v>275</v>
      </c>
      <c r="C8" s="8" t="s">
        <v>276</v>
      </c>
      <c r="D8" s="8" t="s">
        <v>277</v>
      </c>
      <c r="E8" s="8" t="s">
        <v>278</v>
      </c>
      <c r="F8" s="8" t="s">
        <v>279</v>
      </c>
      <c r="G8" s="9" t="n">
        <v>45848</v>
      </c>
      <c r="H8" s="8" t="s">
        <v>280</v>
      </c>
    </row>
    <row r="9" customFormat="false" ht="15" hidden="false" customHeight="true" outlineLevel="0" collapsed="false">
      <c r="A9" s="8" t="s">
        <v>49</v>
      </c>
      <c r="B9" s="8" t="s">
        <v>281</v>
      </c>
      <c r="C9" s="8" t="s">
        <v>282</v>
      </c>
      <c r="D9" s="8" t="s">
        <v>283</v>
      </c>
      <c r="E9" s="8" t="s">
        <v>262</v>
      </c>
      <c r="F9" s="8" t="s">
        <v>284</v>
      </c>
      <c r="G9" s="9" t="n">
        <v>45851</v>
      </c>
      <c r="H9" s="8" t="s">
        <v>285</v>
      </c>
    </row>
    <row r="10" customFormat="false" ht="15" hidden="false" customHeight="true" outlineLevel="0" collapsed="false">
      <c r="A10" s="8" t="s">
        <v>54</v>
      </c>
      <c r="B10" s="8" t="s">
        <v>286</v>
      </c>
      <c r="C10" s="8" t="s">
        <v>287</v>
      </c>
      <c r="D10" s="8" t="s">
        <v>288</v>
      </c>
      <c r="E10" s="8" t="s">
        <v>268</v>
      </c>
      <c r="F10" s="8" t="s">
        <v>263</v>
      </c>
      <c r="G10" s="9" t="n">
        <v>45854</v>
      </c>
      <c r="H10" s="8" t="s">
        <v>289</v>
      </c>
    </row>
    <row r="11" customFormat="false" ht="15" hidden="false" customHeight="true" outlineLevel="0" collapsed="false">
      <c r="A11" s="8" t="s">
        <v>57</v>
      </c>
      <c r="B11" s="8" t="s">
        <v>290</v>
      </c>
      <c r="C11" s="8" t="s">
        <v>291</v>
      </c>
      <c r="D11" s="8" t="s">
        <v>292</v>
      </c>
      <c r="E11" s="8" t="s">
        <v>273</v>
      </c>
      <c r="F11" s="8" t="s">
        <v>263</v>
      </c>
      <c r="G11" s="9" t="n">
        <v>45857</v>
      </c>
      <c r="H11" s="8" t="s">
        <v>293</v>
      </c>
    </row>
    <row r="12" customFormat="false" ht="15" hidden="false" customHeight="true" outlineLevel="0" collapsed="false">
      <c r="A12" s="8" t="s">
        <v>59</v>
      </c>
      <c r="B12" s="8" t="s">
        <v>294</v>
      </c>
      <c r="C12" s="8" t="s">
        <v>295</v>
      </c>
      <c r="D12" s="8" t="s">
        <v>296</v>
      </c>
      <c r="E12" s="8" t="s">
        <v>278</v>
      </c>
      <c r="F12" s="8" t="s">
        <v>263</v>
      </c>
      <c r="G12" s="9" t="n">
        <v>45860</v>
      </c>
      <c r="H12" s="8" t="s">
        <v>297</v>
      </c>
    </row>
    <row r="13" customFormat="false" ht="15" hidden="false" customHeight="true" outlineLevel="0" collapsed="false">
      <c r="A13" s="8" t="s">
        <v>61</v>
      </c>
      <c r="B13" s="8" t="s">
        <v>298</v>
      </c>
      <c r="C13" s="8" t="s">
        <v>299</v>
      </c>
      <c r="D13" s="8" t="s">
        <v>300</v>
      </c>
      <c r="E13" s="8" t="s">
        <v>262</v>
      </c>
      <c r="F13" s="8" t="s">
        <v>279</v>
      </c>
      <c r="G13" s="9" t="n">
        <v>45863</v>
      </c>
      <c r="H13" s="8" t="s">
        <v>301</v>
      </c>
    </row>
    <row r="14" customFormat="false" ht="15" hidden="false" customHeight="true" outlineLevel="0" collapsed="false">
      <c r="A14" s="8" t="s">
        <v>63</v>
      </c>
      <c r="B14" s="8" t="s">
        <v>302</v>
      </c>
      <c r="C14" s="8" t="s">
        <v>303</v>
      </c>
      <c r="D14" s="8" t="s">
        <v>304</v>
      </c>
      <c r="E14" s="8" t="s">
        <v>268</v>
      </c>
      <c r="F14" s="8" t="s">
        <v>284</v>
      </c>
      <c r="G14" s="9" t="n">
        <v>45866</v>
      </c>
      <c r="H14" s="8" t="s">
        <v>305</v>
      </c>
    </row>
    <row r="15" customFormat="false" ht="15" hidden="false" customHeight="true" outlineLevel="0" collapsed="false">
      <c r="A15" s="8" t="s">
        <v>65</v>
      </c>
      <c r="B15" s="8" t="s">
        <v>306</v>
      </c>
      <c r="C15" s="8" t="s">
        <v>307</v>
      </c>
      <c r="D15" s="8" t="s">
        <v>308</v>
      </c>
      <c r="E15" s="8" t="s">
        <v>273</v>
      </c>
      <c r="F15" s="8" t="s">
        <v>263</v>
      </c>
      <c r="G15" s="9" t="n">
        <v>45869</v>
      </c>
      <c r="H15" s="8" t="s">
        <v>309</v>
      </c>
    </row>
    <row r="16" customFormat="false" ht="15" hidden="false" customHeight="true" outlineLevel="0" collapsed="false">
      <c r="A16" s="8" t="s">
        <v>67</v>
      </c>
      <c r="B16" s="8" t="s">
        <v>310</v>
      </c>
      <c r="C16" s="8" t="s">
        <v>311</v>
      </c>
      <c r="D16" s="8" t="s">
        <v>312</v>
      </c>
      <c r="E16" s="8" t="s">
        <v>278</v>
      </c>
      <c r="F16" s="8" t="s">
        <v>263</v>
      </c>
      <c r="G16" s="9" t="n">
        <v>45872</v>
      </c>
      <c r="H16" s="8" t="s">
        <v>313</v>
      </c>
    </row>
    <row r="17" customFormat="false" ht="15" hidden="false" customHeight="true" outlineLevel="0" collapsed="false">
      <c r="A17" s="8" t="s">
        <v>69</v>
      </c>
      <c r="B17" s="8" t="s">
        <v>314</v>
      </c>
      <c r="C17" s="8" t="s">
        <v>315</v>
      </c>
      <c r="D17" s="8" t="s">
        <v>316</v>
      </c>
      <c r="E17" s="8" t="s">
        <v>262</v>
      </c>
      <c r="F17" s="8" t="s">
        <v>263</v>
      </c>
      <c r="G17" s="9" t="n">
        <v>45875</v>
      </c>
      <c r="H17" s="8" t="s">
        <v>317</v>
      </c>
    </row>
    <row r="18" customFormat="false" ht="15" hidden="false" customHeight="true" outlineLevel="0" collapsed="false">
      <c r="A18" s="8" t="s">
        <v>71</v>
      </c>
      <c r="B18" s="8" t="s">
        <v>318</v>
      </c>
      <c r="C18" s="8" t="s">
        <v>319</v>
      </c>
      <c r="D18" s="8" t="s">
        <v>320</v>
      </c>
      <c r="E18" s="8" t="s">
        <v>268</v>
      </c>
      <c r="F18" s="8" t="s">
        <v>279</v>
      </c>
      <c r="G18" s="9" t="n">
        <v>45878</v>
      </c>
      <c r="H18" s="8" t="s">
        <v>321</v>
      </c>
    </row>
    <row r="19" customFormat="false" ht="15" hidden="false" customHeight="true" outlineLevel="0" collapsed="false">
      <c r="A19" s="8" t="s">
        <v>73</v>
      </c>
      <c r="B19" s="8" t="s">
        <v>322</v>
      </c>
      <c r="C19" s="8" t="s">
        <v>323</v>
      </c>
      <c r="D19" s="8" t="s">
        <v>324</v>
      </c>
      <c r="E19" s="8" t="s">
        <v>273</v>
      </c>
      <c r="F19" s="8" t="s">
        <v>284</v>
      </c>
      <c r="G19" s="9" t="n">
        <v>45881</v>
      </c>
      <c r="H19" s="8" t="s">
        <v>325</v>
      </c>
    </row>
    <row r="20" customFormat="false" ht="15" hidden="false" customHeight="true" outlineLevel="0" collapsed="false">
      <c r="A20" s="8" t="s">
        <v>75</v>
      </c>
      <c r="B20" s="8" t="s">
        <v>326</v>
      </c>
      <c r="C20" s="8" t="s">
        <v>327</v>
      </c>
      <c r="D20" s="8" t="s">
        <v>328</v>
      </c>
      <c r="E20" s="8" t="s">
        <v>278</v>
      </c>
      <c r="F20" s="8" t="s">
        <v>263</v>
      </c>
      <c r="G20" s="9" t="n">
        <v>45884</v>
      </c>
      <c r="H20" s="8" t="s">
        <v>329</v>
      </c>
    </row>
    <row r="21" customFormat="false" ht="15" hidden="false" customHeight="true" outlineLevel="0" collapsed="false">
      <c r="A21" s="8" t="s">
        <v>77</v>
      </c>
      <c r="B21" s="8" t="s">
        <v>330</v>
      </c>
      <c r="C21" s="8" t="s">
        <v>331</v>
      </c>
      <c r="D21" s="8" t="s">
        <v>332</v>
      </c>
      <c r="E21" s="8" t="s">
        <v>262</v>
      </c>
      <c r="F21" s="8" t="s">
        <v>263</v>
      </c>
      <c r="G21" s="9" t="n">
        <v>45887</v>
      </c>
      <c r="H21" s="8" t="s">
        <v>333</v>
      </c>
    </row>
    <row r="22" customFormat="false" ht="15" hidden="false" customHeight="true" outlineLevel="0" collapsed="false">
      <c r="A22" s="8" t="s">
        <v>79</v>
      </c>
      <c r="B22" s="8" t="s">
        <v>334</v>
      </c>
      <c r="C22" s="8" t="s">
        <v>335</v>
      </c>
      <c r="D22" s="8" t="s">
        <v>336</v>
      </c>
      <c r="E22" s="8" t="s">
        <v>268</v>
      </c>
      <c r="F22" s="8" t="s">
        <v>263</v>
      </c>
      <c r="G22" s="9" t="n">
        <v>45890</v>
      </c>
      <c r="H22" s="8" t="s">
        <v>337</v>
      </c>
    </row>
    <row r="25" customFormat="false" ht="15" hidden="false" customHeight="true" outlineLevel="0" collapsed="false">
      <c r="A25" s="10" t="s">
        <v>338</v>
      </c>
      <c r="B25" s="4" t="n">
        <f aca="false">COUNTA(A5:A22)</f>
        <v>18</v>
      </c>
    </row>
    <row r="26" customFormat="false" ht="15" hidden="false" customHeight="true" outlineLevel="0" collapsed="false">
      <c r="A26" s="10" t="s">
        <v>339</v>
      </c>
      <c r="B26" s="4" t="n">
        <f aca="false">COUNTIF(F5:F22,"Pending")+COUNTIF(F5:F22,"Error - Retry Queued")</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14"/>
    <col collapsed="false" customWidth="true" hidden="false" outlineLevel="0" max="4" min="4" style="1" width="18"/>
    <col collapsed="false" customWidth="true" hidden="false" outlineLevel="0" max="5" min="5" style="1" width="20"/>
    <col collapsed="false" customWidth="true" hidden="false" outlineLevel="0" max="6" min="6" style="1" width="12"/>
    <col collapsed="false" customWidth="true" hidden="false" outlineLevel="0" max="8" min="7" style="1" width="14"/>
    <col collapsed="false" customWidth="true" hidden="false" outlineLevel="0" max="9" min="9" style="1" width="18"/>
    <col collapsed="false" customWidth="true" hidden="false" outlineLevel="0" max="10" min="10" style="1" width="14"/>
    <col collapsed="false" customWidth="true" hidden="false" outlineLevel="0" max="11" min="11" style="1" width="16"/>
    <col collapsed="false" customWidth="true" hidden="false" outlineLevel="0" max="12" min="12" style="1" width="15"/>
    <col collapsed="false" customWidth="true" hidden="false" outlineLevel="0" max="13" min="13" style="1" width="18"/>
  </cols>
  <sheetData>
    <row r="1" customFormat="false" ht="17.25" hidden="false" customHeight="true" outlineLevel="0" collapsed="false">
      <c r="A1" s="2" t="s">
        <v>340</v>
      </c>
    </row>
    <row r="2" customFormat="false" ht="15" hidden="false" customHeight="true" outlineLevel="0" collapsed="false">
      <c r="A2" s="3" t="s">
        <v>341</v>
      </c>
    </row>
    <row r="3" customFormat="false" ht="15" hidden="false" customHeight="true" outlineLevel="0" collapsed="false">
      <c r="A3" s="10" t="s">
        <v>342</v>
      </c>
      <c r="E3" s="13" t="n">
        <v>14</v>
      </c>
    </row>
    <row r="5" customFormat="false" ht="23.25" hidden="false" customHeight="true" outlineLevel="0" collapsed="false">
      <c r="A5" s="15" t="s">
        <v>343</v>
      </c>
      <c r="B5" s="15" t="s">
        <v>344</v>
      </c>
      <c r="C5" s="15" t="s">
        <v>345</v>
      </c>
      <c r="D5" s="15" t="s">
        <v>346</v>
      </c>
      <c r="E5" s="15" t="s">
        <v>347</v>
      </c>
      <c r="F5" s="15" t="s">
        <v>348</v>
      </c>
      <c r="G5" s="15" t="s">
        <v>349</v>
      </c>
      <c r="H5" s="15" t="s">
        <v>350</v>
      </c>
      <c r="I5" s="15" t="s">
        <v>351</v>
      </c>
      <c r="J5" s="15" t="s">
        <v>352</v>
      </c>
      <c r="K5" s="15" t="s">
        <v>353</v>
      </c>
      <c r="L5" s="15" t="s">
        <v>354</v>
      </c>
      <c r="M5" s="15" t="s">
        <v>355</v>
      </c>
    </row>
    <row r="6" customFormat="false" ht="15" hidden="false" customHeight="true" outlineLevel="0" collapsed="false">
      <c r="A6" s="8" t="s">
        <v>264</v>
      </c>
      <c r="B6" s="8" t="s">
        <v>27</v>
      </c>
      <c r="C6" s="8" t="s">
        <v>356</v>
      </c>
      <c r="D6" s="8" t="s">
        <v>357</v>
      </c>
      <c r="E6" s="8" t="s">
        <v>358</v>
      </c>
      <c r="F6" s="8" t="s">
        <v>359</v>
      </c>
      <c r="G6" s="8" t="s">
        <v>279</v>
      </c>
      <c r="H6" s="8"/>
      <c r="I6" s="8"/>
      <c r="J6" s="8" t="n">
        <v>3</v>
      </c>
      <c r="K6" s="9" t="n">
        <v>48214</v>
      </c>
      <c r="L6" s="9" t="n">
        <v>45901</v>
      </c>
      <c r="M6" s="8" t="str">
        <f aca="true">IF(L6-TODAY()&lt;=$E$3,IF(L6-TODAY()&lt;0,"Overdue - Escalate","Due Soon - Notify"),"On Track")</f>
        <v>Overdue - Escalate</v>
      </c>
    </row>
    <row r="7" customFormat="false" ht="15" hidden="false" customHeight="true" outlineLevel="0" collapsed="false">
      <c r="A7" s="8" t="s">
        <v>269</v>
      </c>
      <c r="B7" s="8" t="s">
        <v>34</v>
      </c>
      <c r="C7" s="8" t="s">
        <v>360</v>
      </c>
      <c r="D7" s="8" t="s">
        <v>361</v>
      </c>
      <c r="E7" s="8" t="s">
        <v>362</v>
      </c>
      <c r="F7" s="8" t="s">
        <v>363</v>
      </c>
      <c r="G7" s="8" t="s">
        <v>279</v>
      </c>
      <c r="H7" s="8"/>
      <c r="I7" s="8"/>
      <c r="J7" s="8" t="n">
        <v>5</v>
      </c>
      <c r="K7" s="9" t="n">
        <v>48244</v>
      </c>
      <c r="L7" s="9" t="n">
        <v>45914</v>
      </c>
      <c r="M7" s="8" t="str">
        <f aca="true">IF(L7-TODAY()&lt;=$E$3,IF(L7-TODAY()&lt;0,"Overdue - Escalate","Due Soon - Notify"),"On Track")</f>
        <v>Overdue - Escalate</v>
      </c>
    </row>
    <row r="8" customFormat="false" ht="15" hidden="false" customHeight="true" outlineLevel="0" collapsed="false">
      <c r="A8" s="8" t="s">
        <v>274</v>
      </c>
      <c r="B8" s="8" t="s">
        <v>38</v>
      </c>
      <c r="C8" s="8" t="s">
        <v>364</v>
      </c>
      <c r="D8" s="8" t="s">
        <v>365</v>
      </c>
      <c r="E8" s="8" t="s">
        <v>358</v>
      </c>
      <c r="F8" s="8" t="s">
        <v>366</v>
      </c>
      <c r="G8" s="8" t="s">
        <v>279</v>
      </c>
      <c r="H8" s="8"/>
      <c r="I8" s="8"/>
      <c r="J8" s="8" t="n">
        <v>5</v>
      </c>
      <c r="K8" s="9" t="n">
        <v>48274</v>
      </c>
      <c r="L8" s="9" t="n">
        <v>45927</v>
      </c>
      <c r="M8" s="8" t="str">
        <f aca="true">IF(L8-TODAY()&lt;=$E$3,IF(L8-TODAY()&lt;0,"Overdue - Escalate","Due Soon - Notify"),"On Track")</f>
        <v>Overdue - Escalate</v>
      </c>
    </row>
    <row r="9" customFormat="false" ht="15" hidden="false" customHeight="true" outlineLevel="0" collapsed="false">
      <c r="A9" s="8" t="s">
        <v>280</v>
      </c>
      <c r="B9" s="8" t="s">
        <v>44</v>
      </c>
      <c r="C9" s="8" t="s">
        <v>356</v>
      </c>
      <c r="D9" s="8" t="s">
        <v>367</v>
      </c>
      <c r="E9" s="8" t="s">
        <v>368</v>
      </c>
      <c r="F9" s="8" t="s">
        <v>359</v>
      </c>
      <c r="G9" s="8" t="s">
        <v>369</v>
      </c>
      <c r="H9" s="8" t="s">
        <v>359</v>
      </c>
      <c r="I9" s="16" t="n">
        <v>45854.125</v>
      </c>
      <c r="J9" s="8" t="n">
        <v>7</v>
      </c>
      <c r="K9" s="9" t="n">
        <v>48304</v>
      </c>
      <c r="L9" s="9" t="n">
        <v>45940</v>
      </c>
      <c r="M9" s="8" t="str">
        <f aca="true">IF(L9-TODAY()&lt;=$E$3,IF(L9-TODAY()&lt;0,"Overdue - Escalate","Due Soon - Notify"),"On Track")</f>
        <v>Overdue - Escalate</v>
      </c>
    </row>
    <row r="10" customFormat="false" ht="15" hidden="false" customHeight="true" outlineLevel="0" collapsed="false">
      <c r="A10" s="8" t="s">
        <v>285</v>
      </c>
      <c r="B10" s="8" t="s">
        <v>49</v>
      </c>
      <c r="C10" s="8" t="s">
        <v>360</v>
      </c>
      <c r="D10" s="8" t="s">
        <v>370</v>
      </c>
      <c r="E10" s="8" t="s">
        <v>358</v>
      </c>
      <c r="F10" s="8" t="s">
        <v>359</v>
      </c>
      <c r="G10" s="8" t="s">
        <v>369</v>
      </c>
      <c r="H10" s="8" t="s">
        <v>359</v>
      </c>
      <c r="I10" s="16" t="n">
        <v>45859.1666666667</v>
      </c>
      <c r="J10" s="8" t="n">
        <v>7</v>
      </c>
      <c r="K10" s="9" t="n">
        <v>48334</v>
      </c>
      <c r="L10" s="9" t="n">
        <v>45953</v>
      </c>
      <c r="M10" s="8" t="str">
        <f aca="true">IF(L10-TODAY()&lt;=$E$3,IF(L10-TODAY()&lt;0,"Overdue - Escalate","Due Soon - Notify"),"On Track")</f>
        <v>Overdue - Escalate</v>
      </c>
    </row>
    <row r="11" customFormat="false" ht="15" hidden="false" customHeight="true" outlineLevel="0" collapsed="false">
      <c r="A11" s="8" t="s">
        <v>289</v>
      </c>
      <c r="B11" s="8" t="s">
        <v>54</v>
      </c>
      <c r="C11" s="8" t="s">
        <v>364</v>
      </c>
      <c r="D11" s="8" t="s">
        <v>357</v>
      </c>
      <c r="E11" s="8" t="s">
        <v>362</v>
      </c>
      <c r="F11" s="8" t="s">
        <v>363</v>
      </c>
      <c r="G11" s="8" t="s">
        <v>279</v>
      </c>
      <c r="H11" s="8"/>
      <c r="I11" s="8"/>
      <c r="J11" s="8" t="n">
        <v>3</v>
      </c>
      <c r="K11" s="9" t="n">
        <v>48364</v>
      </c>
      <c r="L11" s="9" t="n">
        <v>45966</v>
      </c>
      <c r="M11" s="8" t="str">
        <f aca="true">IF(L11-TODAY()&lt;=$E$3,IF(L11-TODAY()&lt;0,"Overdue - Escalate","Due Soon - Notify"),"On Track")</f>
        <v>Overdue - Escalate</v>
      </c>
    </row>
    <row r="12" customFormat="false" ht="15" hidden="false" customHeight="true" outlineLevel="0" collapsed="false">
      <c r="A12" s="8" t="s">
        <v>293</v>
      </c>
      <c r="B12" s="8" t="s">
        <v>57</v>
      </c>
      <c r="C12" s="8" t="s">
        <v>356</v>
      </c>
      <c r="D12" s="8" t="s">
        <v>361</v>
      </c>
      <c r="E12" s="8" t="s">
        <v>358</v>
      </c>
      <c r="F12" s="8" t="s">
        <v>366</v>
      </c>
      <c r="G12" s="8" t="s">
        <v>279</v>
      </c>
      <c r="H12" s="8"/>
      <c r="I12" s="8"/>
      <c r="J12" s="8" t="n">
        <v>5</v>
      </c>
      <c r="K12" s="9" t="n">
        <v>48394</v>
      </c>
      <c r="L12" s="9" t="n">
        <v>45979</v>
      </c>
      <c r="M12" s="8" t="str">
        <f aca="true">IF(L12-TODAY()&lt;=$E$3,IF(L12-TODAY()&lt;0,"Overdue - Escalate","Due Soon - Notify"),"On Track")</f>
        <v>Overdue - Escalate</v>
      </c>
    </row>
    <row r="13" customFormat="false" ht="15" hidden="false" customHeight="true" outlineLevel="0" collapsed="false">
      <c r="A13" s="8" t="s">
        <v>297</v>
      </c>
      <c r="B13" s="8" t="s">
        <v>59</v>
      </c>
      <c r="C13" s="8" t="s">
        <v>360</v>
      </c>
      <c r="D13" s="8" t="s">
        <v>365</v>
      </c>
      <c r="E13" s="8" t="s">
        <v>368</v>
      </c>
      <c r="F13" s="8" t="s">
        <v>359</v>
      </c>
      <c r="G13" s="8" t="s">
        <v>279</v>
      </c>
      <c r="H13" s="8"/>
      <c r="I13" s="8"/>
      <c r="J13" s="8" t="n">
        <v>5</v>
      </c>
      <c r="K13" s="9" t="n">
        <v>48424</v>
      </c>
      <c r="L13" s="9" t="n">
        <v>45992</v>
      </c>
      <c r="M13" s="8" t="str">
        <f aca="true">IF(L13-TODAY()&lt;=$E$3,IF(L13-TODAY()&lt;0,"Overdue - Escalate","Due Soon - Notify"),"On Track")</f>
        <v>Overdue - Escalate</v>
      </c>
    </row>
    <row r="14" customFormat="false" ht="15" hidden="false" customHeight="true" outlineLevel="0" collapsed="false">
      <c r="A14" s="8" t="s">
        <v>301</v>
      </c>
      <c r="B14" s="8" t="s">
        <v>61</v>
      </c>
      <c r="C14" s="8" t="s">
        <v>364</v>
      </c>
      <c r="D14" s="8" t="s">
        <v>367</v>
      </c>
      <c r="E14" s="8" t="s">
        <v>358</v>
      </c>
      <c r="F14" s="8" t="s">
        <v>359</v>
      </c>
      <c r="G14" s="8" t="s">
        <v>369</v>
      </c>
      <c r="H14" s="8" t="s">
        <v>359</v>
      </c>
      <c r="I14" s="16" t="n">
        <v>45879</v>
      </c>
      <c r="J14" s="8" t="n">
        <v>7</v>
      </c>
      <c r="K14" s="9" t="n">
        <v>48454</v>
      </c>
      <c r="L14" s="9" t="n">
        <v>46005</v>
      </c>
      <c r="M14" s="8" t="str">
        <f aca="true">IF(L14-TODAY()&lt;=$E$3,IF(L14-TODAY()&lt;0,"Overdue - Escalate","Due Soon - Notify"),"On Track")</f>
        <v>Overdue - Escalate</v>
      </c>
    </row>
    <row r="15" customFormat="false" ht="15" hidden="false" customHeight="true" outlineLevel="0" collapsed="false">
      <c r="A15" s="8" t="s">
        <v>305</v>
      </c>
      <c r="B15" s="8" t="s">
        <v>63</v>
      </c>
      <c r="C15" s="8" t="s">
        <v>356</v>
      </c>
      <c r="D15" s="8" t="s">
        <v>370</v>
      </c>
      <c r="E15" s="8" t="s">
        <v>362</v>
      </c>
      <c r="F15" s="8" t="s">
        <v>363</v>
      </c>
      <c r="G15" s="8" t="s">
        <v>369</v>
      </c>
      <c r="H15" s="8" t="s">
        <v>363</v>
      </c>
      <c r="I15" s="16" t="n">
        <v>45884.0416666667</v>
      </c>
      <c r="J15" s="8" t="n">
        <v>7</v>
      </c>
      <c r="K15" s="9" t="n">
        <v>48484</v>
      </c>
      <c r="L15" s="9" t="n">
        <v>46018</v>
      </c>
      <c r="M15" s="8" t="str">
        <f aca="true">IF(L15-TODAY()&lt;=$E$3,IF(L15-TODAY()&lt;0,"Overdue - Escalate","Due Soon - Notify"),"On Track")</f>
        <v>Overdue - Escalate</v>
      </c>
    </row>
    <row r="16" customFormat="false" ht="15" hidden="false" customHeight="true" outlineLevel="0" collapsed="false">
      <c r="A16" s="8" t="s">
        <v>309</v>
      </c>
      <c r="B16" s="8" t="s">
        <v>65</v>
      </c>
      <c r="C16" s="8" t="s">
        <v>360</v>
      </c>
      <c r="D16" s="8" t="s">
        <v>357</v>
      </c>
      <c r="E16" s="8" t="s">
        <v>358</v>
      </c>
      <c r="F16" s="8" t="s">
        <v>366</v>
      </c>
      <c r="G16" s="8" t="s">
        <v>279</v>
      </c>
      <c r="H16" s="8"/>
      <c r="I16" s="8"/>
      <c r="J16" s="8" t="n">
        <v>3</v>
      </c>
      <c r="K16" s="9" t="n">
        <v>48514</v>
      </c>
      <c r="L16" s="9" t="n">
        <v>46031</v>
      </c>
      <c r="M16" s="8" t="str">
        <f aca="true">IF(L16-TODAY()&lt;=$E$3,IF(L16-TODAY()&lt;0,"Overdue - Escalate","Due Soon - Notify"),"On Track")</f>
        <v>Overdue - Escalate</v>
      </c>
    </row>
    <row r="17" customFormat="false" ht="15" hidden="false" customHeight="true" outlineLevel="0" collapsed="false">
      <c r="A17" s="8" t="s">
        <v>313</v>
      </c>
      <c r="B17" s="8" t="s">
        <v>67</v>
      </c>
      <c r="C17" s="8" t="s">
        <v>364</v>
      </c>
      <c r="D17" s="8" t="s">
        <v>361</v>
      </c>
      <c r="E17" s="8" t="s">
        <v>368</v>
      </c>
      <c r="F17" s="8" t="s">
        <v>359</v>
      </c>
      <c r="G17" s="8" t="s">
        <v>279</v>
      </c>
      <c r="H17" s="8"/>
      <c r="I17" s="8"/>
      <c r="J17" s="8" t="n">
        <v>5</v>
      </c>
      <c r="K17" s="9" t="n">
        <v>48544</v>
      </c>
      <c r="L17" s="9" t="n">
        <v>46044</v>
      </c>
      <c r="M17" s="8" t="str">
        <f aca="true">IF(L17-TODAY()&lt;=$E$3,IF(L17-TODAY()&lt;0,"Overdue - Escalate","Due Soon - Notify"),"On Track")</f>
        <v>Overdue - Escalate</v>
      </c>
    </row>
    <row r="18" customFormat="false" ht="15" hidden="false" customHeight="true" outlineLevel="0" collapsed="false">
      <c r="A18" s="8" t="s">
        <v>317</v>
      </c>
      <c r="B18" s="8" t="s">
        <v>69</v>
      </c>
      <c r="C18" s="8" t="s">
        <v>356</v>
      </c>
      <c r="D18" s="8" t="s">
        <v>365</v>
      </c>
      <c r="E18" s="8" t="s">
        <v>358</v>
      </c>
      <c r="F18" s="8" t="s">
        <v>359</v>
      </c>
      <c r="G18" s="8" t="s">
        <v>279</v>
      </c>
      <c r="H18" s="8"/>
      <c r="I18" s="8"/>
      <c r="J18" s="8" t="n">
        <v>5</v>
      </c>
      <c r="K18" s="9" t="n">
        <v>48574</v>
      </c>
      <c r="L18" s="9" t="n">
        <v>46057</v>
      </c>
      <c r="M18" s="8" t="str">
        <f aca="true">IF(L18-TODAY()&lt;=$E$3,IF(L18-TODAY()&lt;0,"Overdue - Escalate","Due Soon - Notify"),"On Track")</f>
        <v>Overdue - Escalate</v>
      </c>
    </row>
    <row r="19" customFormat="false" ht="15" hidden="false" customHeight="true" outlineLevel="0" collapsed="false">
      <c r="A19" s="8" t="s">
        <v>321</v>
      </c>
      <c r="B19" s="8" t="s">
        <v>71</v>
      </c>
      <c r="C19" s="8" t="s">
        <v>360</v>
      </c>
      <c r="D19" s="8" t="s">
        <v>367</v>
      </c>
      <c r="E19" s="8" t="s">
        <v>362</v>
      </c>
      <c r="F19" s="8" t="s">
        <v>363</v>
      </c>
      <c r="G19" s="8" t="s">
        <v>369</v>
      </c>
      <c r="H19" s="8" t="s">
        <v>363</v>
      </c>
      <c r="I19" s="16" t="n">
        <v>45904.2083333333</v>
      </c>
      <c r="J19" s="8" t="n">
        <v>7</v>
      </c>
      <c r="K19" s="9" t="n">
        <v>48239</v>
      </c>
      <c r="L19" s="9" t="n">
        <v>46070</v>
      </c>
      <c r="M19" s="8" t="str">
        <f aca="true">IF(L19-TODAY()&lt;=$E$3,IF(L19-TODAY()&lt;0,"Overdue - Escalate","Due Soon - Notify"),"On Track")</f>
        <v>Overdue - Escalate</v>
      </c>
    </row>
    <row r="20" customFormat="false" ht="15" hidden="false" customHeight="true" outlineLevel="0" collapsed="false">
      <c r="A20" s="8" t="s">
        <v>325</v>
      </c>
      <c r="B20" s="8" t="s">
        <v>73</v>
      </c>
      <c r="C20" s="8" t="s">
        <v>364</v>
      </c>
      <c r="D20" s="8" t="s">
        <v>370</v>
      </c>
      <c r="E20" s="8" t="s">
        <v>358</v>
      </c>
      <c r="F20" s="8" t="s">
        <v>366</v>
      </c>
      <c r="G20" s="8" t="s">
        <v>369</v>
      </c>
      <c r="H20" s="8" t="s">
        <v>366</v>
      </c>
      <c r="I20" s="16" t="n">
        <v>45909.25</v>
      </c>
      <c r="J20" s="8" t="n">
        <v>7</v>
      </c>
      <c r="K20" s="9" t="n">
        <v>48269</v>
      </c>
      <c r="L20" s="9" t="n">
        <v>45903</v>
      </c>
      <c r="M20" s="8" t="str">
        <f aca="true">IF(L20-TODAY()&lt;=$E$3,IF(L20-TODAY()&lt;0,"Overdue - Escalate","Due Soon - Notify"),"On Track")</f>
        <v>Overdue - Escalate</v>
      </c>
    </row>
    <row r="21" customFormat="false" ht="15" hidden="false" customHeight="true" outlineLevel="0" collapsed="false">
      <c r="A21" s="8" t="s">
        <v>329</v>
      </c>
      <c r="B21" s="8" t="s">
        <v>75</v>
      </c>
      <c r="C21" s="8" t="s">
        <v>356</v>
      </c>
      <c r="D21" s="8" t="s">
        <v>357</v>
      </c>
      <c r="E21" s="8" t="s">
        <v>368</v>
      </c>
      <c r="F21" s="8" t="s">
        <v>359</v>
      </c>
      <c r="G21" s="8" t="s">
        <v>279</v>
      </c>
      <c r="H21" s="8"/>
      <c r="I21" s="8"/>
      <c r="J21" s="8" t="n">
        <v>3</v>
      </c>
      <c r="K21" s="9" t="n">
        <v>48299</v>
      </c>
      <c r="L21" s="9" t="n">
        <v>45916</v>
      </c>
      <c r="M21" s="8" t="str">
        <f aca="true">IF(L21-TODAY()&lt;=$E$3,IF(L21-TODAY()&lt;0,"Overdue - Escalate","Due Soon - Notify"),"On Track")</f>
        <v>Overdue - Escalate</v>
      </c>
    </row>
    <row r="22" customFormat="false" ht="15" hidden="false" customHeight="true" outlineLevel="0" collapsed="false">
      <c r="A22" s="8" t="s">
        <v>333</v>
      </c>
      <c r="B22" s="8" t="s">
        <v>77</v>
      </c>
      <c r="C22" s="8" t="s">
        <v>360</v>
      </c>
      <c r="D22" s="8" t="s">
        <v>361</v>
      </c>
      <c r="E22" s="8" t="s">
        <v>358</v>
      </c>
      <c r="F22" s="8" t="s">
        <v>359</v>
      </c>
      <c r="G22" s="8" t="s">
        <v>279</v>
      </c>
      <c r="H22" s="8"/>
      <c r="I22" s="8"/>
      <c r="J22" s="8" t="n">
        <v>5</v>
      </c>
      <c r="K22" s="9" t="n">
        <v>48329</v>
      </c>
      <c r="L22" s="9" t="n">
        <v>45929</v>
      </c>
      <c r="M22" s="8" t="str">
        <f aca="true">IF(L22-TODAY()&lt;=$E$3,IF(L22-TODAY()&lt;0,"Overdue - Escalate","Due Soon - Notify"),"On Track")</f>
        <v>Overdue - Escalate</v>
      </c>
    </row>
    <row r="23" customFormat="false" ht="15" hidden="false" customHeight="true" outlineLevel="0" collapsed="false">
      <c r="A23" s="8" t="s">
        <v>337</v>
      </c>
      <c r="B23" s="8" t="s">
        <v>79</v>
      </c>
      <c r="C23" s="8" t="s">
        <v>364</v>
      </c>
      <c r="D23" s="8" t="s">
        <v>365</v>
      </c>
      <c r="E23" s="8" t="s">
        <v>362</v>
      </c>
      <c r="F23" s="8" t="s">
        <v>363</v>
      </c>
      <c r="G23" s="8" t="s">
        <v>279</v>
      </c>
      <c r="H23" s="8"/>
      <c r="I23" s="8"/>
      <c r="J23" s="8" t="n">
        <v>5</v>
      </c>
      <c r="K23" s="9" t="n">
        <v>48359</v>
      </c>
      <c r="L23" s="9" t="n">
        <v>45942</v>
      </c>
      <c r="M23" s="8" t="str">
        <f aca="true">IF(L23-TODAY()&lt;=$E$3,IF(L23-TODAY()&lt;0,"Overdue - Escalate","Due Soon - Notify"),"On Track")</f>
        <v>Overdue - Escalate</v>
      </c>
    </row>
    <row r="26" customFormat="false" ht="15" hidden="false" customHeight="true" outlineLevel="0" collapsed="false">
      <c r="A26" s="10" t="s">
        <v>371</v>
      </c>
      <c r="B26" s="4" t="n">
        <f aca="false">COUNTA(A6:A23)</f>
        <v>18</v>
      </c>
    </row>
    <row r="27" customFormat="false" ht="15" hidden="false" customHeight="true" outlineLevel="0" collapsed="false">
      <c r="A27" s="10" t="s">
        <v>372</v>
      </c>
      <c r="B27" s="4" t="n">
        <f aca="false">COUNTIF(M6:M23,"Overdue - Escalate")</f>
        <v>18</v>
      </c>
    </row>
    <row r="28" customFormat="false" ht="15" hidden="false" customHeight="true" outlineLevel="0" collapsed="false">
      <c r="A28" s="10" t="s">
        <v>373</v>
      </c>
      <c r="B28" s="4" t="n">
        <f aca="false">COUNTIF(M6:M23,"Due Soon - Notify")</f>
        <v>0</v>
      </c>
    </row>
    <row r="29" customFormat="false" ht="15" hidden="false" customHeight="true" outlineLevel="0" collapsed="false">
      <c r="A29" s="10" t="s">
        <v>374</v>
      </c>
      <c r="B29" s="4" t="n">
        <f aca="false">COUNTIF(G6:G23,"Approved")</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2026-08-25T02:13:35Z</dcterms:created>
  <dc:creator>openpyxl</dc:creator>
  <dc:description/>
  <dc:language>en-US</dc:language>
  <cp:lastModifiedBy/>
  <dcterms:modified xsi:type="dcterms:W3CDTF">2026-08-25T02:18:47Z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