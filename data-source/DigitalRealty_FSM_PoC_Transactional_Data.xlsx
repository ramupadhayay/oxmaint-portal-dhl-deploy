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3"/>
  <workbookPr/>
  <xr:revisionPtr revIDLastSave="1" documentId="11_FE6E43E7613FDC191430F35A99827A416ACD4292" xr6:coauthVersionLast="47" xr6:coauthVersionMax="47" xr10:uidLastSave="{38996AAE-8867-463E-96B8-EA979E604BCE}"/>
  <bookViews>
    <workbookView xWindow="0" yWindow="0" windowWidth="16384" windowHeight="8192" tabRatio="500" xr2:uid="{00000000-000D-0000-FFFF-FFFF00000000}"/>
  </bookViews>
  <sheets>
    <sheet name="Read Me" sheetId="1" r:id="rId1"/>
    <sheet name="Work Orders" sheetId="2" r:id="rId2"/>
    <sheet name="Alert &amp; Anomaly Register" sheetId="3" r:id="rId3"/>
    <sheet name="Condition Monitoring Readings" sheetId="4" r:id="rId4"/>
    <sheet name="BMS Data Sample" sheetId="5" r:id="rId5"/>
    <sheet name="EPMS Data Sample" sheetId="6" r:id="rId6"/>
    <sheet name="DCIM Data Sample" sheetId="7" r:id="rId7"/>
    <sheet name="OEM Monitoring Sample" sheetId="8" r:id="rId8"/>
    <sheet name="Battery Monitoring Sample" sheetId="9" r:id="rId9"/>
    <sheet name="Maintenance Correlation Log" sheetId="10" r:id="rId10"/>
    <sheet name="KPI Dashboard (Actuals)" sheetId="11" r:id="rId11"/>
    <sheet name="Benefits Realization Assessment" sheetId="12" r:id="rId12"/>
    <sheet name="PM Compliance Log" sheetId="13" r:id="rId13"/>
    <sheet name="Weekly Health Report Log" sheetId="14" r:id="rId14"/>
    <sheet name="Incident History (Baseline)" sheetId="15" r:id="rId15"/>
    <sheet name="Risk-Assumption-Dependency Reg" sheetId="16" r:id="rId16"/>
    <sheet name="Site Readiness Checklist" sheetId="17" r:id="rId17"/>
    <sheet name="Technical Prereq Checklist" sheetId="18" r:id="rId18"/>
  </sheets>
  <definedNames>
    <definedName name="_xlnm._FilterDatabase" localSheetId="2" hidden="1">'Alert &amp; Anomaly Register'!$A$1:$M$9</definedName>
    <definedName name="_xlnm._FilterDatabase" localSheetId="8" hidden="1">'Battery Monitoring Sample'!$A$1:$J$9</definedName>
    <definedName name="_xlnm._FilterDatabase" localSheetId="11" hidden="1">'Benefits Realization Assessment'!$A$1:$F$7</definedName>
    <definedName name="_xlnm._FilterDatabase" localSheetId="4" hidden="1">'BMS Data Sample'!$A$1:$J$13</definedName>
    <definedName name="_xlnm._FilterDatabase" localSheetId="3" hidden="1">'Condition Monitoring Readings'!$A$1:$I$15</definedName>
    <definedName name="_xlnm._FilterDatabase" localSheetId="6" hidden="1">'DCIM Data Sample'!$A$1:$G$13</definedName>
    <definedName name="_xlnm._FilterDatabase" localSheetId="5" hidden="1">'EPMS Data Sample'!$A$1:$I$15</definedName>
    <definedName name="_xlnm._FilterDatabase" localSheetId="14" hidden="1">'Incident History (Baseline)'!$A$1:$I$8</definedName>
    <definedName name="_xlnm._FilterDatabase" localSheetId="10" hidden="1">'KPI Dashboard (Actuals)'!$A$1:$G$11</definedName>
    <definedName name="_xlnm._FilterDatabase" localSheetId="9" hidden="1">'Maintenance Correlation Log'!$A$1:$I$8</definedName>
    <definedName name="_xlnm._FilterDatabase" localSheetId="7" hidden="1">'OEM Monitoring Sample'!$A$1:$I$10</definedName>
    <definedName name="_xlnm._FilterDatabase" localSheetId="12" hidden="1">'PM Compliance Log'!$A$1:$G$11</definedName>
    <definedName name="_xlnm._FilterDatabase" localSheetId="15" hidden="1">'Risk-Assumption-Dependency Reg'!$A$1:$H$11</definedName>
    <definedName name="_xlnm._FilterDatabase" localSheetId="16" hidden="1">'Site Readiness Checklist'!$A$1:$E$16</definedName>
    <definedName name="_xlnm._FilterDatabase" localSheetId="17" hidden="1">'Technical Prereq Checklist'!$A$1:$D$13</definedName>
    <definedName name="_xlnm._FilterDatabase" localSheetId="13" hidden="1">'Weekly Health Report Log'!$A$1:$K$9</definedName>
    <definedName name="_xlnm._FilterDatabase" localSheetId="1" hidden="1">'Work Orders'!$A$1:$N$9</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1" i="11" l="1"/>
  <c r="F11" i="11" s="1"/>
  <c r="E10" i="11"/>
  <c r="F10" i="11" s="1"/>
  <c r="E9" i="11"/>
  <c r="F9" i="11" s="1"/>
  <c r="E8" i="11"/>
  <c r="F8" i="11" s="1"/>
  <c r="E7" i="11"/>
  <c r="F7" i="11" s="1"/>
  <c r="E6" i="11"/>
  <c r="F6" i="11" s="1"/>
  <c r="E5" i="11"/>
  <c r="F5" i="11" s="1"/>
  <c r="E4" i="11"/>
  <c r="F4" i="11" s="1"/>
  <c r="E3" i="11"/>
  <c r="F3" i="11" s="1"/>
  <c r="E2" i="11"/>
  <c r="F2" i="11" s="1"/>
</calcChain>
</file>

<file path=xl/sharedStrings.xml><?xml version="1.0" encoding="utf-8"?>
<sst xmlns="http://schemas.openxmlformats.org/spreadsheetml/2006/main" count="1536" uniqueCount="851">
  <si>
    <t>Digital Realty - Future State Maintenance (FSM) PoC
Transactional Data Workbook</t>
  </si>
  <si>
    <t>Purpose</t>
  </si>
  <si>
    <t>This workbook contains the illustrative transactional records that the FSM PoC will generate once live: sample integrated data pulled from every SOW Section 4.1 existing system (BMS, EPMS, DCIM, OEM monitoring platforms, Battery Monitoring System, CMMS, asset registry, incident history) alongside the new vibration/thermal/ultrasound condition monitoring, the resulting alerts, work orders, correlation findings, a live KPI dashboard, a benefits realization assessment, PM compliance, weekly health reports, baseline incident history, the risk register, and the two readiness checklists required as SOW deliverables.</t>
  </si>
  <si>
    <t>Important assumption</t>
  </si>
  <si>
    <t>All dates, readings, alerts, work orders, and log entries in this workbook are ILLUSTRATIVE sample data intended to demonstrate the transactional data model and the SOW Section 7.2 response workflow (Alert generated -&gt; Engineering review -&gt; Condition validation -&gt; Maintenance action determination -&gt; Work order execution -&gt; Outcome recorded -&gt; Feedback incorporated into analytics). They are not real Digital Realty operational records. IDs cross-reference the companion 'DigitalRealty_FSM_PoC_Master_Data.xlsx' workbook (Asset Register, PM Task Library, Site Master).</t>
  </si>
  <si>
    <t>How this aligns to the SOW</t>
  </si>
  <si>
    <t>•  'BMS Data Sample', 'EPMS Data Sample', 'DCIM Data Sample', 'OEM Monitoring Sample', and 'Battery Monitoring Sample' give every SOW Section 4.1 existing data source its own illustrative integrated feed - not just a catalog entry - and several rows are deliberately timestamped to corroborate the same real-world events as the Alert &amp; Anomaly Register (e.g., the EPMS ground-fault pre-alarm and harmonic distortion readings that precede ALT-0003 by minutes, or the OEM platform's own diagnostic flag on ALT-0002), demonstrating multi-source correlation per SOW Section 6.1.</t>
  </si>
  <si>
    <t>•  'Alert &amp; Anomaly Register' and 'Work Orders' implement the Section 7.2 Response Workflow end to end, including a false-positive example so Alert Accuracy / False Positive Rate KPIs (Section 8) are computable.</t>
  </si>
  <si>
    <t>•  'KPI Dashboard (Actuals)' computes all 10 Section 8 Technical and Operational KPIs live with spreadsheet formulas (AVERAGE/COUNTIF/COUNTIFS) against the sheets above, rather than static text, so it recalculates automatically as real PoC data is added - the analytics deliverable behind the Section 2.1 KPI Monitoring and Performance Assessment activities.</t>
  </si>
  <si>
    <t>•  'Benefits Realization Assessment' is the named Section 9 deliverable and is the evidence base behind KPI-O05 'Business Case for Scale'.</t>
  </si>
  <si>
    <t>•  'Maintenance Correlation Log' is the named SOW deliverable correlating detected anomalies with physical inspections and maintenance findings (Sections 2.1, 9).</t>
  </si>
  <si>
    <t>•  'PM Compliance Log' shows the existing calendar-based PM (from the Master Data 'PM Task Library') continuing to run unchanged in parallel, per SOW Section 2.2.</t>
  </si>
  <si>
    <t>•  'Weekly Health Report Log' reflects the Section 2.1 cadence: weekly during the initial period, moving to biweekly as the PoC progresses, and now carries all three Technical KPI inputs (Sensor Availability, Data Acquisition Reliability, Dashboard Availability) as live percentages.</t>
  </si>
  <si>
    <t>•  'Incident History (Baseline)' addresses the Section 10 risk 'Limited historical data' by establishing baseline operating profiles before PoC monitoring begins.</t>
  </si>
  <si>
    <t>•  'Risk-Assumption-Dependency Reg' combines the Section 10 risk table with the Section 5.2 requirement for an Assumptions, Dependencies, and Risk Register.</t>
  </si>
  <si>
    <t>•  'Site Readiness Checklist' and 'Technical Prereq Checklist' are named Section 5.2 deliverables, structured against its prerequisite categories.</t>
  </si>
  <si>
    <t>Companion file</t>
  </si>
  <si>
    <t>See 'DigitalRealty_FSM_PoC_Master_Data.xlsx' for Site, Location, Asset Class, Manufacturer, Failure Code, Asset Register, Criticality, Data Source/System (with a 'Sample Data Location' column pointing back into this workbook), Stakeholder, PM Task, and KPI master tables that these transactions reference.</t>
  </si>
  <si>
    <t>Workbook map</t>
  </si>
  <si>
    <t>•  1. Work Orders - sample work orders spanning condition-based, calendar, and reactive triggers.</t>
  </si>
  <si>
    <t>•  2. Alert &amp; Anomaly Register - sample alerts with severity, validation outcome, and linked work orders.</t>
  </si>
  <si>
    <t>•  3. Condition Monitoring Readings - sample vibration/thermal/ultrasound readings feeding the alerts.</t>
  </si>
  <si>
    <t>•  4. BMS Data Sample - sample Building Management System telemetry (SOW 4.1).</t>
  </si>
  <si>
    <t>•  5. EPMS Data Sample - sample Electrical Power Monitoring System telemetry (SOW 4.1).</t>
  </si>
  <si>
    <t>•  6. DCIM Data Sample - sample Data Center Infrastructure Management metrics (SOW 4.1).</t>
  </si>
  <si>
    <t>•  7. OEM Monitoring Sample - sample OEM monitoring-platform health/alarm data (SOW 4.1).</t>
  </si>
  <si>
    <t>•  8. Battery Monitoring Sample - sample Battery Monitoring System readings (SOW 4.1).</t>
  </si>
  <si>
    <t>•  9. Maintenance Correlation Log - inspection/maintenance findings correlated to each alert.</t>
  </si>
  <si>
    <t>•  10. KPI Dashboard (Actuals) - all 10 SOW Section 8 KPIs computed live from the sheets above.</t>
  </si>
  <si>
    <t>•  11. Benefits Realization Assessment - named SOW Section 9 deliverable.</t>
  </si>
  <si>
    <t>•  12. PM Compliance Log - baseline calendar PM schedule vs. completion status.</t>
  </si>
  <si>
    <t>•  13. Weekly Health Report Log - governance reporting cadence per SOW 2.1.</t>
  </si>
  <si>
    <t>•  14. Incident History (Baseline) - pre-PoC historical incidents for baseline comparison.</t>
  </si>
  <si>
    <t>•  15. Risk-Assumption-Dependency Reg - SOW 5.2 / Section 10 deliverable.</t>
  </si>
  <si>
    <t>•  16. Site Readiness Checklist - SOW 5.2 deliverable.</t>
  </si>
  <si>
    <t>•  17. Technical Prereq Checklist - SOW 5.2 deliverable.</t>
  </si>
  <si>
    <t>Work Order ID</t>
  </si>
  <si>
    <t>Date Raised</t>
  </si>
  <si>
    <t>Asset ID</t>
  </si>
  <si>
    <t>Site ID</t>
  </si>
  <si>
    <t>Trigger Source</t>
  </si>
  <si>
    <t>Linked Alert ID</t>
  </si>
  <si>
    <t>Priority</t>
  </si>
  <si>
    <t>Description</t>
  </si>
  <si>
    <t>Maintenance Action / Finding</t>
  </si>
  <si>
    <t>Assigned To</t>
  </si>
  <si>
    <t>Status</t>
  </si>
  <si>
    <t>Date Completed</t>
  </si>
  <si>
    <t>Outcome</t>
  </si>
  <si>
    <t>Feedback to Analytics (Step 7)</t>
  </si>
  <si>
    <t>WO-1001</t>
  </si>
  <si>
    <t>2026-09-16</t>
  </si>
  <si>
    <t>IAD35-PUMP-01</t>
  </si>
  <si>
    <t>IAD35</t>
  </si>
  <si>
    <t>Condition-Based Alert</t>
  </si>
  <si>
    <t>ALT-0001</t>
  </si>
  <si>
    <t>High</t>
  </si>
  <si>
    <t>Inspect condenser water pump for imbalance; rebalance/replace impeller as required.</t>
  </si>
  <si>
    <t>Physical inspection confirmed impeller wear; pump rebalanced under redundant-path MOP.</t>
  </si>
  <si>
    <t>Site Engineering</t>
  </si>
  <si>
    <t>Completed</t>
  </si>
  <si>
    <t>2026-09-18</t>
  </si>
  <si>
    <t>Vibration returned to baseline; no cooling redundancy impact.</t>
  </si>
  <si>
    <t>Confirms vibration sensing detects impeller wear ahead of quarterly PM interval.</t>
  </si>
  <si>
    <t>WO-1002</t>
  </si>
  <si>
    <t>2026-09-20</t>
  </si>
  <si>
    <t>ORD12-UPS-01</t>
  </si>
  <si>
    <t>ORD12</t>
  </si>
  <si>
    <t>ALT-0002</t>
  </si>
  <si>
    <t>Critical</t>
  </si>
  <si>
    <t>Investigate and correct thermal hot spot at UPS input terminal.</t>
  </si>
  <si>
    <t>De-energized redundant module per MOP; found and corrected a loose input lug connection.</t>
  </si>
  <si>
    <t>Site Engineering + Electrical Vendor</t>
  </si>
  <si>
    <t>2026-09-21</t>
  </si>
  <si>
    <t>Thermal signature normalized; avoided potential connection failure on critical load path.</t>
  </si>
  <si>
    <t>Add torque-check/thermal-scan step to UPS quarterly PM checklist.</t>
  </si>
  <si>
    <t>WO-1003</t>
  </si>
  <si>
    <t>2026-09-27</t>
  </si>
  <si>
    <t>LHR10-LVSG-01</t>
  </si>
  <si>
    <t>LHR10</t>
  </si>
  <si>
    <t>ALT-0003</t>
  </si>
  <si>
    <t>Investigate ultrasonic arcing signature at LV switchgear breaker connection.</t>
  </si>
  <si>
    <t>Isolated redundant breaker per MOP; resurfaced degraded contact; verified with follow-up ultrasound scan.</t>
  </si>
  <si>
    <t>Site Engineering + Switchgear OEM</t>
  </si>
  <si>
    <t>2026-09-29</t>
  </si>
  <si>
    <t>Arcing signature eliminated; avoided potential unplanned breaker trip.</t>
  </si>
  <si>
    <t>Validates ultrasound as an earlier leading indicator than annual IR thermography for switchgear.</t>
  </si>
  <si>
    <t>WO-1004</t>
  </si>
  <si>
    <t>2026-10-02</t>
  </si>
  <si>
    <t>FRA15-XFMR-01</t>
  </si>
  <si>
    <t>FRA15</t>
  </si>
  <si>
    <t>ALT-0004</t>
  </si>
  <si>
    <t>Pull oil sample from transformer for dissolved-gas analysis (DGA).</t>
  </si>
  <si>
    <t>Sample pulled and submitted to accredited lab; results pending.</t>
  </si>
  <si>
    <t>In Progress</t>
  </si>
  <si>
    <t>Pending lab result.</t>
  </si>
  <si>
    <t>Pending - correlation log to be updated on DGA result.</t>
  </si>
  <si>
    <t>WO-1005</t>
  </si>
  <si>
    <t>2026-10-06</t>
  </si>
  <si>
    <t>SIN11-GENS-01</t>
  </si>
  <si>
    <t>SIN11</t>
  </si>
  <si>
    <t>ALT-0005</t>
  </si>
  <si>
    <t>Medium</t>
  </si>
  <si>
    <t>Correct minor coupling misalignment on standby generator set.</t>
  </si>
  <si>
    <t>Alignment corrected during scheduled weekly no-load exercise run (no extra outage window required).</t>
  </si>
  <si>
    <t>Vibration within normal limits on next exercise run.</t>
  </si>
  <si>
    <t>Confirms condition data can be actioned inside existing PM windows at no added risk.</t>
  </si>
  <si>
    <t>WO-1006</t>
  </si>
  <si>
    <t>2026-10-14</t>
  </si>
  <si>
    <t>IAD35-CRAH-01</t>
  </si>
  <si>
    <t>ALT-0007</t>
  </si>
  <si>
    <t>Investigate elevated CRAH fan motor temperature.</t>
  </si>
  <si>
    <t>Inspected drive belt; found slippage; adjusted tension.</t>
  </si>
  <si>
    <t>Motor temperature normalized.</t>
  </si>
  <si>
    <t>Minor finding; no change to PM interval recommended.</t>
  </si>
  <si>
    <t>WO-1007</t>
  </si>
  <si>
    <t>2026-10-01</t>
  </si>
  <si>
    <t>LHR10-UPS-01</t>
  </si>
  <si>
    <t>Calendar PM (PM-UPS-02)</t>
  </si>
  <si>
    <t>N/A</t>
  </si>
  <si>
    <t>Scheduled</t>
  </si>
  <si>
    <t>Annual UPS battery string load/impedance test.</t>
  </si>
  <si>
    <t>Load/impedance test performed on all strings per IEEE 450.</t>
  </si>
  <si>
    <t>Site Engineering + Battery Vendor</t>
  </si>
  <si>
    <t>All strings within OEM specification.</t>
  </si>
  <si>
    <t>Baseline PM unaffected by PoC, per SOW Section 2.2.</t>
  </si>
  <si>
    <t>WO-1008</t>
  </si>
  <si>
    <t>2026-09-24</t>
  </si>
  <si>
    <t>ORD12-DRYC-01</t>
  </si>
  <si>
    <t>Reactive (Operator Reported)</t>
  </si>
  <si>
    <t>Investigate unusual noise reported by operations during rounds.</t>
  </si>
  <si>
    <t>Found loose access-panel fastener; tightened; no mechanical fault found.</t>
  </si>
  <si>
    <t>No further finding.</t>
  </si>
  <si>
    <t>Illustrates a reactive work order outside the condition-monitoring pilot for comparison.</t>
  </si>
  <si>
    <t>Alert ID</t>
  </si>
  <si>
    <t>Date/Time</t>
  </si>
  <si>
    <t>Monitoring Source</t>
  </si>
  <si>
    <t>Failure Code</t>
  </si>
  <si>
    <t>Severity</t>
  </si>
  <si>
    <t>Alert Description</t>
  </si>
  <si>
    <t>Engineering Review Outcome</t>
  </si>
  <si>
    <t>Condition Validated</t>
  </si>
  <si>
    <t>Linked Work Order</t>
  </si>
  <si>
    <t>Alert Classification (for KPI-T03/T04)</t>
  </si>
  <si>
    <t>2026-09-15 11:40</t>
  </si>
  <si>
    <t>Vibration Sensor</t>
  </si>
  <si>
    <t>V03</t>
  </si>
  <si>
    <t>Rising vibration amplitude at 1x running speed, trending above baseline over 5 days.</t>
  </si>
  <si>
    <t>Engineering confirmed trend consistent with rotor imbalance signature.</t>
  </si>
  <si>
    <t>Yes</t>
  </si>
  <si>
    <t>Closed - Resolved</t>
  </si>
  <si>
    <t>True Positive</t>
  </si>
  <si>
    <t>2026-09-20 14:02</t>
  </si>
  <si>
    <t>Thermal Sensor</t>
  </si>
  <si>
    <t>T01</t>
  </si>
  <si>
    <t>Localized hot spot at UPS input terminal, +22 degC delta-T vs. baseline.</t>
  </si>
  <si>
    <t>Engineering escalated immediately given critical load path.</t>
  </si>
  <si>
    <t>2026-09-27 03:18</t>
  </si>
  <si>
    <t>Ultrasound Sensor</t>
  </si>
  <si>
    <t>U02</t>
  </si>
  <si>
    <t>Ultrasonic acoustic signature consistent with early-stage arcing at breaker cable connection.</t>
  </si>
  <si>
    <t>Engineering treated as urgent; redundant path confirmed available before action.</t>
  </si>
  <si>
    <t>2026-10-02 09:05</t>
  </si>
  <si>
    <t>T04</t>
  </si>
  <si>
    <t>Gradual winding temperature rise beyond seasonal load-adjusted baseline.</t>
  </si>
  <si>
    <t>Engineering requested oil sample and dissolved-gas analysis (DGA).</t>
  </si>
  <si>
    <t>Pending Lab Result</t>
  </si>
  <si>
    <t>Under Investigation</t>
  </si>
  <si>
    <t>Pending</t>
  </si>
  <si>
    <t>2026-10-05 16:44</t>
  </si>
  <si>
    <t>V02</t>
  </si>
  <si>
    <t>Vibration signature consistent with minor coupling misalignment during weekly exercise run.</t>
  </si>
  <si>
    <t>Engineering scheduled correction at next planned no-load run window.</t>
  </si>
  <si>
    <t>ALT-0006</t>
  </si>
  <si>
    <t>2026-10-09 12:30</t>
  </si>
  <si>
    <t>SYD12-CHIL-01</t>
  </si>
  <si>
    <t>SYD12</t>
  </si>
  <si>
    <t>V05</t>
  </si>
  <si>
    <t>Intermittent broadband vibration flagged as possible cavitation.</t>
  </si>
  <si>
    <t>Physical inspection found no cavitation indicators; noise traced to an adjacent control valve.</t>
  </si>
  <si>
    <t>No</t>
  </si>
  <si>
    <t>Closed - False Positive</t>
  </si>
  <si>
    <t>False Positive</t>
  </si>
  <si>
    <t>2026-10-14 08:12</t>
  </si>
  <si>
    <t>T05</t>
  </si>
  <si>
    <t>Fan motor casing temperature trending above baseline.</t>
  </si>
  <si>
    <t>Engineering suspected belt slippage; scheduled inspection.</t>
  </si>
  <si>
    <t>ALT-0008</t>
  </si>
  <si>
    <t>2026-10-18 19:55</t>
  </si>
  <si>
    <t>ORD12-PDU-01</t>
  </si>
  <si>
    <t>Low</t>
  </si>
  <si>
    <t>Low-level ultrasonic activity detected near PDU output breaker; below alarm threshold.</t>
  </si>
  <si>
    <t>Queued for routine engineering review; not yet inspected.</t>
  </si>
  <si>
    <t>Not Yet Reviewed</t>
  </si>
  <si>
    <t>Open</t>
  </si>
  <si>
    <t>Reading ID</t>
  </si>
  <si>
    <t>Sensor Type</t>
  </si>
  <si>
    <t>Measured Value</t>
  </si>
  <si>
    <t>Unit / Baseline</t>
  </si>
  <si>
    <t>Threshold</t>
  </si>
  <si>
    <t>RDG-0001</t>
  </si>
  <si>
    <t>2026-09-08 09:15</t>
  </si>
  <si>
    <t>Vibration</t>
  </si>
  <si>
    <t>2.1</t>
  </si>
  <si>
    <t>mm/s RMS</t>
  </si>
  <si>
    <t>Alarm &gt; 4.5 mm/s RMS</t>
  </si>
  <si>
    <t>Normal</t>
  </si>
  <si>
    <t>RDG-0002</t>
  </si>
  <si>
    <t>5.8</t>
  </si>
  <si>
    <t>Alarm</t>
  </si>
  <si>
    <t>RDG-0003</t>
  </si>
  <si>
    <t>2026-09-18 15:00</t>
  </si>
  <si>
    <t>2.4</t>
  </si>
  <si>
    <t>Normal (post-repair)</t>
  </si>
  <si>
    <t>RDG-0004</t>
  </si>
  <si>
    <t>2026-09-12 14:00</t>
  </si>
  <si>
    <t>Thermal</t>
  </si>
  <si>
    <t>46</t>
  </si>
  <si>
    <t>degC (baseline 44 degC)</t>
  </si>
  <si>
    <t>Warning &gt; +15 degC delta-T</t>
  </si>
  <si>
    <t>RDG-0005</t>
  </si>
  <si>
    <t>68</t>
  </si>
  <si>
    <t>RDG-0006</t>
  </si>
  <si>
    <t>2026-09-21 18:00</t>
  </si>
  <si>
    <t>45</t>
  </si>
  <si>
    <t>degC (post-repair)</t>
  </si>
  <si>
    <t>RDG-0007</t>
  </si>
  <si>
    <t>Ultrasound</t>
  </si>
  <si>
    <t>41</t>
  </si>
  <si>
    <t>dB uV</t>
  </si>
  <si>
    <t>Alarm &gt; 38 dB uV</t>
  </si>
  <si>
    <t>RDG-0008</t>
  </si>
  <si>
    <t>2026-09-29 10:00</t>
  </si>
  <si>
    <t>18</t>
  </si>
  <si>
    <t>dB uV (post-repair)</t>
  </si>
  <si>
    <t>RDG-0009</t>
  </si>
  <si>
    <t>79</t>
  </si>
  <si>
    <t>degC winding (baseline 61 degC)</t>
  </si>
  <si>
    <t>Warning</t>
  </si>
  <si>
    <t>RDG-0010</t>
  </si>
  <si>
    <t>3.9</t>
  </si>
  <si>
    <t>Warning &gt; 3.5 mm/s RMS</t>
  </si>
  <si>
    <t>RDG-0011</t>
  </si>
  <si>
    <t>2026-10-06 09:00</t>
  </si>
  <si>
    <t>1.8</t>
  </si>
  <si>
    <t>mm/s RMS (post-repair)</t>
  </si>
  <si>
    <t>RDG-0012</t>
  </si>
  <si>
    <t>3.6</t>
  </si>
  <si>
    <t>RDG-0013</t>
  </si>
  <si>
    <t>58</t>
  </si>
  <si>
    <t>degC motor casing (baseline 47 degC)</t>
  </si>
  <si>
    <t>Warning &gt; +10 degC delta-T</t>
  </si>
  <si>
    <t>RDG-0014</t>
  </si>
  <si>
    <t>24</t>
  </si>
  <si>
    <t>Elevated (below alarm)</t>
  </si>
  <si>
    <t>Timestamp</t>
  </si>
  <si>
    <t>Location ID</t>
  </si>
  <si>
    <t>BMS Point Name</t>
  </si>
  <si>
    <t>Value</t>
  </si>
  <si>
    <t>Unit</t>
  </si>
  <si>
    <t>Correlates With (Alert ID)</t>
  </si>
  <si>
    <t>BMS-0001</t>
  </si>
  <si>
    <t>2026-09-01 08:00</t>
  </si>
  <si>
    <t>IAD35-DHPOC</t>
  </si>
  <si>
    <t>Supply Air Temperature</t>
  </si>
  <si>
    <t>18.2</t>
  </si>
  <si>
    <t>degC</t>
  </si>
  <si>
    <t>BMS-0002</t>
  </si>
  <si>
    <t>N/A (hall average)</t>
  </si>
  <si>
    <t>Return Air Temperature</t>
  </si>
  <si>
    <t>24.5</t>
  </si>
  <si>
    <t>BMS-0003</t>
  </si>
  <si>
    <t>Relative Humidity</t>
  </si>
  <si>
    <t>%RH</t>
  </si>
  <si>
    <t>BMS-0004</t>
  </si>
  <si>
    <t>2026-09-05 09:00</t>
  </si>
  <si>
    <t>ORD12-DHPOC</t>
  </si>
  <si>
    <t>23.9</t>
  </si>
  <si>
    <t>BMS-0005</t>
  </si>
  <si>
    <t>2026-09-10 10:00</t>
  </si>
  <si>
    <t>LHR10-DHPOC</t>
  </si>
  <si>
    <t>Chilled Water Valve Position</t>
  </si>
  <si>
    <t>62</t>
  </si>
  <si>
    <t>%Open</t>
  </si>
  <si>
    <t>BMS-0006</t>
  </si>
  <si>
    <t>2026-09-15 11:00</t>
  </si>
  <si>
    <t>FRA15-DHPOC</t>
  </si>
  <si>
    <t>24.1</t>
  </si>
  <si>
    <t>BMS-0007</t>
  </si>
  <si>
    <t>2026-09-20 12:00</t>
  </si>
  <si>
    <t>SIN11-DHPOC</t>
  </si>
  <si>
    <t>48</t>
  </si>
  <si>
    <t>BMS-0008</t>
  </si>
  <si>
    <t>2026-09-25 13:00</t>
  </si>
  <si>
    <t>SYD12-DHPOC</t>
  </si>
  <si>
    <t>SYD12-CRAH-01</t>
  </si>
  <si>
    <t>18.0</t>
  </si>
  <si>
    <t>BMS-0009</t>
  </si>
  <si>
    <t>2026-10-14 08:00</t>
  </si>
  <si>
    <t>19.8</t>
  </si>
  <si>
    <t>Warning - elevated</t>
  </si>
  <si>
    <t>BMS-0010</t>
  </si>
  <si>
    <t>2026-10-14 08:05</t>
  </si>
  <si>
    <t>Fan Motor Damper Position</t>
  </si>
  <si>
    <t>88</t>
  </si>
  <si>
    <t>%Open (compensating)</t>
  </si>
  <si>
    <t>BMS-0011</t>
  </si>
  <si>
    <t>2026-10-18 07:00</t>
  </si>
  <si>
    <t>18.3</t>
  </si>
  <si>
    <t>BMS-0012</t>
  </si>
  <si>
    <t>2026-11-01 09:00</t>
  </si>
  <si>
    <t>23.7</t>
  </si>
  <si>
    <t>EPMS Point Name</t>
  </si>
  <si>
    <t>EPMS-0001</t>
  </si>
  <si>
    <t>2026-09-01 00:00</t>
  </si>
  <si>
    <t>Bus Voltage L-L</t>
  </si>
  <si>
    <t>415</t>
  </si>
  <si>
    <t>V</t>
  </si>
  <si>
    <t>EPMS-0002</t>
  </si>
  <si>
    <t>2026-09-27 03:14</t>
  </si>
  <si>
    <t>Harmonic Distortion (THD)</t>
  </si>
  <si>
    <t>4.8</t>
  </si>
  <si>
    <t>%THD</t>
  </si>
  <si>
    <t>EPMS-0003</t>
  </si>
  <si>
    <t>2026-09-27 03:15</t>
  </si>
  <si>
    <t>Ground Fault Current (Pre-Alarm)</t>
  </si>
  <si>
    <t>A</t>
  </si>
  <si>
    <t>Warning - precedes alert by 3 min</t>
  </si>
  <si>
    <t>EPMS-0004</t>
  </si>
  <si>
    <t>2026-09-27 03:20</t>
  </si>
  <si>
    <t>Breaker Status</t>
  </si>
  <si>
    <t>Closed - No Trip</t>
  </si>
  <si>
    <t>-</t>
  </si>
  <si>
    <t>Normal (redundant path held)</t>
  </si>
  <si>
    <t>EPMS-0005</t>
  </si>
  <si>
    <t>2026-09-05 06:00</t>
  </si>
  <si>
    <t>Load</t>
  </si>
  <si>
    <t>%Rated</t>
  </si>
  <si>
    <t>EPMS-0006</t>
  </si>
  <si>
    <t>2026-10-02 09:00</t>
  </si>
  <si>
    <t>74</t>
  </si>
  <si>
    <t>Normal (context for thermal alert)</t>
  </si>
  <si>
    <t>EPMS-0007</t>
  </si>
  <si>
    <t>2026-09-10 07:00</t>
  </si>
  <si>
    <t>Output Current</t>
  </si>
  <si>
    <t>820</t>
  </si>
  <si>
    <t>EPMS-0008</t>
  </si>
  <si>
    <t>2026-09-20 14:00</t>
  </si>
  <si>
    <t>Input Terminal Voltage Imbalance</t>
  </si>
  <si>
    <t>3.1</t>
  </si>
  <si>
    <t>%</t>
  </si>
  <si>
    <t>EPMS-0009</t>
  </si>
  <si>
    <t>0.4</t>
  </si>
  <si>
    <t>% (post-repair)</t>
  </si>
  <si>
    <t>EPMS-0010</t>
  </si>
  <si>
    <t>2026-09-12 08:00</t>
  </si>
  <si>
    <t>Branch Circuit Load</t>
  </si>
  <si>
    <t>EPMS-0011</t>
  </si>
  <si>
    <t>2026-09-15 10:00</t>
  </si>
  <si>
    <t>IAD35-CHIL-01</t>
  </si>
  <si>
    <t>Motor Current</t>
  </si>
  <si>
    <t>210</t>
  </si>
  <si>
    <t>EPMS-0012</t>
  </si>
  <si>
    <t>2026-09-20 11:00</t>
  </si>
  <si>
    <t>SIN11-HVSG-01</t>
  </si>
  <si>
    <t>Bus Voltage</t>
  </si>
  <si>
    <t>11</t>
  </si>
  <si>
    <t>kV</t>
  </si>
  <si>
    <t>EPMS-0013</t>
  </si>
  <si>
    <t>2026-09-25 12:00</t>
  </si>
  <si>
    <t>SYD12-GENS-01</t>
  </si>
  <si>
    <t>Standby Generator Output</t>
  </si>
  <si>
    <t>0</t>
  </si>
  <si>
    <t>kW (standby)</t>
  </si>
  <si>
    <t>EPMS-0014</t>
  </si>
  <si>
    <t>FRA15-LVSG-01</t>
  </si>
  <si>
    <t>400</t>
  </si>
  <si>
    <t>Date</t>
  </si>
  <si>
    <t>Metric</t>
  </si>
  <si>
    <t>Trend Note</t>
  </si>
  <si>
    <t>DCIM-0001</t>
  </si>
  <si>
    <t>2026-09-01</t>
  </si>
  <si>
    <t>PUE (trailing 30-day)</t>
  </si>
  <si>
    <t>1.42</t>
  </si>
  <si>
    <t>ratio</t>
  </si>
  <si>
    <t>Stable</t>
  </si>
  <si>
    <t>DCIM-0002</t>
  </si>
  <si>
    <t>Power Capacity Headroom</t>
  </si>
  <si>
    <t>22</t>
  </si>
  <si>
    <t>% of design</t>
  </si>
  <si>
    <t>Adequate for N+1</t>
  </si>
  <si>
    <t>DCIM-0003</t>
  </si>
  <si>
    <t>1.48</t>
  </si>
  <si>
    <t>DCIM-0004</t>
  </si>
  <si>
    <t>Cooling Capacity Headroom</t>
  </si>
  <si>
    <t>DCIM-0005</t>
  </si>
  <si>
    <t>1.35</t>
  </si>
  <si>
    <t>Stable (2N site)</t>
  </si>
  <si>
    <t>DCIM-0006</t>
  </si>
  <si>
    <t>Adequate for 2N</t>
  </si>
  <si>
    <t>DCIM-0007</t>
  </si>
  <si>
    <t>1.31</t>
  </si>
  <si>
    <t>DCIM-0008</t>
  </si>
  <si>
    <t>DCIM-0009</t>
  </si>
  <si>
    <t>1.52</t>
  </si>
  <si>
    <t>Stable (tropical climate)</t>
  </si>
  <si>
    <t>DCIM-0010</t>
  </si>
  <si>
    <t>15</t>
  </si>
  <si>
    <t>Watch - trending down</t>
  </si>
  <si>
    <t>DCIM-0011</t>
  </si>
  <si>
    <t>1.39</t>
  </si>
  <si>
    <t>DCIM-0012</t>
  </si>
  <si>
    <t>2026-11-01</t>
  </si>
  <si>
    <t>1.40</t>
  </si>
  <si>
    <t>Improved vs. September baseline</t>
  </si>
  <si>
    <t>OEM Platform</t>
  </si>
  <si>
    <t>Health Indicator / Alarm</t>
  </si>
  <si>
    <t>Value / Description</t>
  </si>
  <si>
    <t>OEM-0001</t>
  </si>
  <si>
    <t>Vertiv LIFE Services</t>
  </si>
  <si>
    <t>Module Health Score</t>
  </si>
  <si>
    <t>90/100</t>
  </si>
  <si>
    <t>OEM-0002</t>
  </si>
  <si>
    <t>92/100</t>
  </si>
  <si>
    <t>OEM-0003</t>
  </si>
  <si>
    <t>Remote Diagnostic Alert</t>
  </si>
  <si>
    <t>Input terminal thermal anomaly flagged</t>
  </si>
  <si>
    <t>OEM-0004</t>
  </si>
  <si>
    <t>2026-10-01 09:00</t>
  </si>
  <si>
    <t>Battery String Health Score</t>
  </si>
  <si>
    <t>88/100</t>
  </si>
  <si>
    <t>OEM-0005</t>
  </si>
  <si>
    <t>Cummins PowerCommand Cloud</t>
  </si>
  <si>
    <t>Vibration Advisory</t>
  </si>
  <si>
    <t>Minor coupling misalignment flagged</t>
  </si>
  <si>
    <t>OEM-0006</t>
  </si>
  <si>
    <t>Engine Health Score</t>
  </si>
  <si>
    <t>96/100 (post-repair)</t>
  </si>
  <si>
    <t>OEM-0007</t>
  </si>
  <si>
    <t>2026-10-30 07:00</t>
  </si>
  <si>
    <t>FRA15-GENS-01</t>
  </si>
  <si>
    <t>MTU / Rolls-Royce ONCall</t>
  </si>
  <si>
    <t>94/100</t>
  </si>
  <si>
    <t>OEM-0008</t>
  </si>
  <si>
    <t>Trane Intelligent Services</t>
  </si>
  <si>
    <t>Refrigeration Circuit Health Score</t>
  </si>
  <si>
    <t>91/100</t>
  </si>
  <si>
    <t>OEM-0009</t>
  </si>
  <si>
    <t>2026-11-01 08:00</t>
  </si>
  <si>
    <t>Caterpillar VisionLink</t>
  </si>
  <si>
    <t>Fuel System Advisory</t>
  </si>
  <si>
    <t>Routine filter change due</t>
  </si>
  <si>
    <t>Info</t>
  </si>
  <si>
    <t>String / Cell Reference</t>
  </si>
  <si>
    <t>Cell Voltage (V)</t>
  </si>
  <si>
    <t>Internal Resistance (mOhm)</t>
  </si>
  <si>
    <t>Temperature (degC)</t>
  </si>
  <si>
    <t>State of Health (%)</t>
  </si>
  <si>
    <t>BAT-0001</t>
  </si>
  <si>
    <t>String 1 - Cell 08</t>
  </si>
  <si>
    <t>2.24</t>
  </si>
  <si>
    <t>0.98</t>
  </si>
  <si>
    <t>23</t>
  </si>
  <si>
    <t>97</t>
  </si>
  <si>
    <t>BAT-0002</t>
  </si>
  <si>
    <t>2026-10-01 06:00</t>
  </si>
  <si>
    <t>String 1 - Cell 14</t>
  </si>
  <si>
    <t>2.23</t>
  </si>
  <si>
    <t>1.05</t>
  </si>
  <si>
    <t>96</t>
  </si>
  <si>
    <t>BAT-0003</t>
  </si>
  <si>
    <t>String 2 - Cell 22</t>
  </si>
  <si>
    <t>2.18</t>
  </si>
  <si>
    <t>25</t>
  </si>
  <si>
    <t>89</t>
  </si>
  <si>
    <t>Watch - trending</t>
  </si>
  <si>
    <t>BAT-0004</t>
  </si>
  <si>
    <t>2026-10-15 09:00</t>
  </si>
  <si>
    <t>2.15</t>
  </si>
  <si>
    <t>1.55</t>
  </si>
  <si>
    <t>86</t>
  </si>
  <si>
    <t>Warning - added to PM watch list</t>
  </si>
  <si>
    <t>BAT-0005</t>
  </si>
  <si>
    <t>SIN11-BAT-01</t>
  </si>
  <si>
    <t>Standby Battery Bank - String 1</t>
  </si>
  <si>
    <t>2.20</t>
  </si>
  <si>
    <t>1.10</t>
  </si>
  <si>
    <t>27</t>
  </si>
  <si>
    <t>94</t>
  </si>
  <si>
    <t>BAT-0006</t>
  </si>
  <si>
    <t>Standby Battery Bank - String 2</t>
  </si>
  <si>
    <t>2.19</t>
  </si>
  <si>
    <t>1.15</t>
  </si>
  <si>
    <t>93</t>
  </si>
  <si>
    <t>BAT-0007</t>
  </si>
  <si>
    <t>SYD12-BAT-01</t>
  </si>
  <si>
    <t>2.22</t>
  </si>
  <si>
    <t>1.02</t>
  </si>
  <si>
    <t>95</t>
  </si>
  <si>
    <t>BAT-0008</t>
  </si>
  <si>
    <t>2026-11-15 06:00</t>
  </si>
  <si>
    <t>1.01</t>
  </si>
  <si>
    <t>Correlation ID</t>
  </si>
  <si>
    <t>Physical Inspection Date</t>
  </si>
  <si>
    <t>Inspection/Maintenance Finding</t>
  </si>
  <si>
    <t>Finding Confirmed Anomaly?</t>
  </si>
  <si>
    <t>Failure Mode Confirmed</t>
  </si>
  <si>
    <t>Detection Lead Time vs. Traditional PM</t>
  </si>
  <si>
    <t>Maintenance Optimization Insight</t>
  </si>
  <si>
    <t>COR-001</t>
  </si>
  <si>
    <t>2026-09-17</t>
  </si>
  <si>
    <t>Impeller wear consistent with the V03 imbalance vibration signature.</t>
  </si>
  <si>
    <t>V03 - Imbalance</t>
  </si>
  <si>
    <t>18 days ahead of the next scheduled quarterly pump PM</t>
  </si>
  <si>
    <t>Consider a condition-triggered PM interval for high-duty condenser water pumps.</t>
  </si>
  <si>
    <t>COR-002</t>
  </si>
  <si>
    <t>Loose input terminal lug confirmed as heat source.</t>
  </si>
  <si>
    <t>T01 - Loose Electrical Connection</t>
  </si>
  <si>
    <t>Detected before visible insulation damage or trip event</t>
  </si>
  <si>
    <t>Add a thermal-scan checkpoint to the UPS quarterly PM checklist (PM-UPS-01).</t>
  </si>
  <si>
    <t>COR-003</t>
  </si>
  <si>
    <t>2026-09-28</t>
  </si>
  <si>
    <t>Early-stage arcing confirmed at breaker cable lug; contact resurfaced.</t>
  </si>
  <si>
    <t>U02 - Arcing</t>
  </si>
  <si>
    <t>Approx. 9 months ahead of next annual IR thermography scan (PM-LVSG-01)</t>
  </si>
  <si>
    <t>Ultrasound shows earlier lead time than annual IR scanning for LV switchgear connections.</t>
  </si>
  <si>
    <t>COR-004</t>
  </si>
  <si>
    <t>Pending dissolved-gas analysis (DGA) lab result.</t>
  </si>
  <si>
    <t>T04 - Insulation Degradation (suspected)</t>
  </si>
  <si>
    <t>TBD</t>
  </si>
  <si>
    <t>To be updated once DGA result is received.</t>
  </si>
  <si>
    <t>COR-005</t>
  </si>
  <si>
    <t>Minor coupling misalignment confirmed and corrected during routine exercise run.</t>
  </si>
  <si>
    <t>V02 - Misalignment</t>
  </si>
  <si>
    <t>Corrected proactively; no unplanned outage risk incurred</t>
  </si>
  <si>
    <t>Condition data actioned inside existing PM windows at no added operational risk.</t>
  </si>
  <si>
    <t>COR-006</t>
  </si>
  <si>
    <t>2026-10-10</t>
  </si>
  <si>
    <t>No cavitation found; noise traced to an adjacent control valve, not the chiller.</t>
  </si>
  <si>
    <t>N/A - False Positive</t>
  </si>
  <si>
    <t>Refine vibration sensor placement/threshold near high-flow valves to reduce false positives.</t>
  </si>
  <si>
    <t>COR-007</t>
  </si>
  <si>
    <t>Fan drive belt slippage confirmed and adjusted.</t>
  </si>
  <si>
    <t>T05 - Motor Overheating (secondary cause: belt slippage)</t>
  </si>
  <si>
    <t>Detected within normal monthly filter/belt PM window</t>
  </si>
  <si>
    <t>Minor finding; no PM interval change recommended for this asset class.</t>
  </si>
  <si>
    <t>KPI ID</t>
  </si>
  <si>
    <t>Group</t>
  </si>
  <si>
    <t>KPI</t>
  </si>
  <si>
    <t>Target (SOW Sec. 8)</t>
  </si>
  <si>
    <t>Actual (Live Formula)</t>
  </si>
  <si>
    <t>Status vs. Target</t>
  </si>
  <si>
    <t>Computed From</t>
  </si>
  <si>
    <t>KPI-T01</t>
  </si>
  <si>
    <t>Technical</t>
  </si>
  <si>
    <t>Sensor Availability</t>
  </si>
  <si>
    <t>~90-100%</t>
  </si>
  <si>
    <t>Weekly Health Report Log - Sensor Availability %</t>
  </si>
  <si>
    <t>KPI-T02</t>
  </si>
  <si>
    <t>Data Acquisition Reliability</t>
  </si>
  <si>
    <t>Weekly Health Report Log - Data Acquisition Reliability %</t>
  </si>
  <si>
    <t>KPI-T03</t>
  </si>
  <si>
    <t>Alert Accuracy</t>
  </si>
  <si>
    <t>~70-80%</t>
  </si>
  <si>
    <t>Alert &amp; Anomaly Register - Alert Classification</t>
  </si>
  <si>
    <t>KPI-T04</t>
  </si>
  <si>
    <t>False Positive Rate</t>
  </si>
  <si>
    <t>~10-20%</t>
  </si>
  <si>
    <t>KPI-T05</t>
  </si>
  <si>
    <t>Dashboard Availability</t>
  </si>
  <si>
    <t>Weekly Health Report Log - Dashboard Availability %</t>
  </si>
  <si>
    <t>KPI-O01</t>
  </si>
  <si>
    <t>Operational</t>
  </si>
  <si>
    <t>Early Fault Detection</t>
  </si>
  <si>
    <t>Demonstrated</t>
  </si>
  <si>
    <t>Maintenance Correlation Log - Finding Confirmed Anomaly?</t>
  </si>
  <si>
    <t>KPI-O02</t>
  </si>
  <si>
    <t>Reduced Unplanned Maintenance Risk</t>
  </si>
  <si>
    <t>Alert &amp; Anomaly Register - Critical/High True Positives</t>
  </si>
  <si>
    <t>KPI-O03</t>
  </si>
  <si>
    <t>Maintenance Optimization Opportunities</t>
  </si>
  <si>
    <t>Maintenance Correlation Log - review count (see Insight column for detail)</t>
  </si>
  <si>
    <t>KPI-O04</t>
  </si>
  <si>
    <t>Condition-Based Interventions</t>
  </si>
  <si>
    <t>Work Orders - Trigger Source = Condition-Based Alert, Status = Completed</t>
  </si>
  <si>
    <t>KPI-O05</t>
  </si>
  <si>
    <t>Business Case for Scale</t>
  </si>
  <si>
    <t>Developed</t>
  </si>
  <si>
    <t>Benefits Realization Assessment - quantified benefit count</t>
  </si>
  <si>
    <t>Benefit ID</t>
  </si>
  <si>
    <t>Category</t>
  </si>
  <si>
    <t>Linked Evidence</t>
  </si>
  <si>
    <t>Estimated Impact (Illustrative)</t>
  </si>
  <si>
    <t>Basis / Assumption</t>
  </si>
  <si>
    <t>BEN-001</t>
  </si>
  <si>
    <t>Reliability</t>
  </si>
  <si>
    <t>Early detection of switchgear arcing avoided a potential unplanned breaker trip on a Critical-rated LV switchgear asset.</t>
  </si>
  <si>
    <t>COR-003 / WO-1003</t>
  </si>
  <si>
    <t>Avoided potential outage on a Critical asset; $ impact to be quantified with Digital Realty's outage-cost model.</t>
  </si>
  <si>
    <t>Illustrative - requires Digital Realty incident-cost benchmark</t>
  </si>
  <si>
    <t>BEN-002</t>
  </si>
  <si>
    <t>Loose UPS input connection corrected before insulation failure on a Critical load path.</t>
  </si>
  <si>
    <t>COR-002 / WO-1002</t>
  </si>
  <si>
    <t>Avoided potential critical-load risk event.</t>
  </si>
  <si>
    <t>BEN-003</t>
  </si>
  <si>
    <t>Maintenance Efficiency</t>
  </si>
  <si>
    <t>Vibration-based detection of pump imbalance found 18 days ahead of the next scheduled quarterly PM.</t>
  </si>
  <si>
    <t>COR-001 / WO-1001</t>
  </si>
  <si>
    <t>18-day earlier intervention than calendar-based PM would have provided.</t>
  </si>
  <si>
    <t>Basis: PM Task Library task PM-PUMP-01 (Quarterly)</t>
  </si>
  <si>
    <t>BEN-004</t>
  </si>
  <si>
    <t>Generator coupling misalignment corrected inside an existing PM window at no incremental cost.</t>
  </si>
  <si>
    <t>COR-005 / WO-1005</t>
  </si>
  <si>
    <t>Zero incremental maintenance window required.</t>
  </si>
  <si>
    <t>Basis: existing PM-GENS-01 weekly no-load exercise run</t>
  </si>
  <si>
    <t>BEN-005</t>
  </si>
  <si>
    <t>Analytics Quality</t>
  </si>
  <si>
    <t>False-positive alert root-caused and used to refine vibration sensor placement/threshold.</t>
  </si>
  <si>
    <t>Expected improvement in future Alert Accuracy (KPI-T03) and False Positive Rate (KPI-T04).</t>
  </si>
  <si>
    <t>Feeds ongoing KPI-T03/T04 trend</t>
  </si>
  <si>
    <t>BEN-006</t>
  </si>
  <si>
    <t>Business Case</t>
  </si>
  <si>
    <t>3 of 8 sample alerts (37.5%) were Critical-severity true positives on assets with no built-in redundancy margin (switchgear, UPS, transformer) - the segment most likely to justify global scale-up.</t>
  </si>
  <si>
    <t>ALT-0002, ALT-0003, ALT-0004</t>
  </si>
  <si>
    <t>Indicative only; to be validated against the full 12-month PoC dataset.</t>
  </si>
  <si>
    <t>Feeds Section 12 Go/No-Go recommendation</t>
  </si>
  <si>
    <t>Log ID</t>
  </si>
  <si>
    <t>PM Task ID (ref. Master Data)</t>
  </si>
  <si>
    <t>Scheduled Date</t>
  </si>
  <si>
    <t>Completed Date</t>
  </si>
  <si>
    <t>Compliance Status</t>
  </si>
  <si>
    <t>Assigned Team</t>
  </si>
  <si>
    <t>PMC-001</t>
  </si>
  <si>
    <t>PM-CRAH-01</t>
  </si>
  <si>
    <t>Completed On Time</t>
  </si>
  <si>
    <t>PMC-002</t>
  </si>
  <si>
    <t>PM-CHIL-01</t>
  </si>
  <si>
    <t>2026-09-15</t>
  </si>
  <si>
    <t>Completed Late</t>
  </si>
  <si>
    <t>Chiller OEM Vendor</t>
  </si>
  <si>
    <t>PMC-003</t>
  </si>
  <si>
    <t>PM-UPS-01</t>
  </si>
  <si>
    <t>2026-09-10</t>
  </si>
  <si>
    <t>PMC-004</t>
  </si>
  <si>
    <t>PM-UPS-02</t>
  </si>
  <si>
    <t>PMC-005</t>
  </si>
  <si>
    <t>PM-LVSG-01</t>
  </si>
  <si>
    <t>2026-11-15</t>
  </si>
  <si>
    <t>Switchgear OEM</t>
  </si>
  <si>
    <t>PMC-006</t>
  </si>
  <si>
    <t>PM-XFMR-01</t>
  </si>
  <si>
    <t>2026-10-20</t>
  </si>
  <si>
    <t>Scheduled (Advanced due to ALT-0004)</t>
  </si>
  <si>
    <t>PMC-007</t>
  </si>
  <si>
    <t>PM-GENS-01</t>
  </si>
  <si>
    <t>PMC-008</t>
  </si>
  <si>
    <t>PM-GENS-02</t>
  </si>
  <si>
    <t>Generator OEM</t>
  </si>
  <si>
    <t>PMC-009</t>
  </si>
  <si>
    <t>PM-CRAH-02</t>
  </si>
  <si>
    <t>2026-09-30</t>
  </si>
  <si>
    <t>2026-10-05</t>
  </si>
  <si>
    <t>PMC-010</t>
  </si>
  <si>
    <t>PM-PDU-01</t>
  </si>
  <si>
    <t>2026-12-01</t>
  </si>
  <si>
    <t>Report ID</t>
  </si>
  <si>
    <t>Week Ending</t>
  </si>
  <si>
    <t>Reporting Cadence</t>
  </si>
  <si>
    <t>Sensor Availability %</t>
  </si>
  <si>
    <t>Data Acquisition Reliability %</t>
  </si>
  <si>
    <t>Dashboard Availability %</t>
  </si>
  <si>
    <t>Open Alerts</t>
  </si>
  <si>
    <t>Alerts Closed</t>
  </si>
  <si>
    <t>Work Orders Raised</t>
  </si>
  <si>
    <t>Key Observations</t>
  </si>
  <si>
    <t>Prepared By</t>
  </si>
  <si>
    <t>WHR-01</t>
  </si>
  <si>
    <t>2026-09-05</t>
  </si>
  <si>
    <t>Weekly</t>
  </si>
  <si>
    <t>Sensor commissioning in progress across all 6 sites; baselining under way.</t>
  </si>
  <si>
    <t>Vendor PoC Lead</t>
  </si>
  <si>
    <t>WHR-02</t>
  </si>
  <si>
    <t>2026-09-12</t>
  </si>
  <si>
    <t>All sites reporting baseline data; no alerts yet generated.</t>
  </si>
  <si>
    <t>WHR-03</t>
  </si>
  <si>
    <t>2026-09-19</t>
  </si>
  <si>
    <t>First two condition-based alerts (ALT-0001, ALT-0002) validated and actioned.</t>
  </si>
  <si>
    <t>WHR-04</t>
  </si>
  <si>
    <t>2026-09-26</t>
  </si>
  <si>
    <t>ALT-0003 (LV switchgear arcing) closed same week given criticality.</t>
  </si>
  <si>
    <t>WHR-05</t>
  </si>
  <si>
    <t>2026-10-03</t>
  </si>
  <si>
    <t>Transformer DGA sample pending lab turnaround; generator alert closed.</t>
  </si>
  <si>
    <t>WHR-06</t>
  </si>
  <si>
    <t>First false-positive alert identified and root-caused (ALT-0006); threshold review opened.</t>
  </si>
  <si>
    <t>WHR-07</t>
  </si>
  <si>
    <t>2026-10-24</t>
  </si>
  <si>
    <t>Biweekly (transition per SOW 2.1)</t>
  </si>
  <si>
    <t>Moved to biweekly cadence as PoC stabilizes; CRAH belt finding closed.</t>
  </si>
  <si>
    <t>WHR-08</t>
  </si>
  <si>
    <t>2026-11-07</t>
  </si>
  <si>
    <t>Biweekly</t>
  </si>
  <si>
    <t>Stable operation; PDU ultrasound alert queued for routine review.</t>
  </si>
  <si>
    <t>Incident ID</t>
  </si>
  <si>
    <t>Failure Description</t>
  </si>
  <si>
    <t>Root Cause</t>
  </si>
  <si>
    <t>Detection Method (Traditional)</t>
  </si>
  <si>
    <t>Downtime (hrs)</t>
  </si>
  <si>
    <t>Customer-Facing Impact</t>
  </si>
  <si>
    <t>INC-2025-014</t>
  </si>
  <si>
    <t>2025-03-11</t>
  </si>
  <si>
    <t>UPS module fault on redundant leg; load remained on active module.</t>
  </si>
  <si>
    <t>Capacitor failure (age-related).</t>
  </si>
  <si>
    <t>BMS Alarm</t>
  </si>
  <si>
    <t>0 (redundant)</t>
  </si>
  <si>
    <t>INC-2025-027</t>
  </si>
  <si>
    <t>2025-06-22</t>
  </si>
  <si>
    <t>Nuisance trip on non-critical distribution breaker.</t>
  </si>
  <si>
    <t>Protective relay settings drift.</t>
  </si>
  <si>
    <t>EPMS Alarm</t>
  </si>
  <si>
    <t>1.5</t>
  </si>
  <si>
    <t>INC-2025-041</t>
  </si>
  <si>
    <t>2025-08-04</t>
  </si>
  <si>
    <t>Reduced chiller capacity during peak cooling demand.</t>
  </si>
  <si>
    <t>Fouled condenser tubes.</t>
  </si>
  <si>
    <t>Operator Report + BMS Trend</t>
  </si>
  <si>
    <t>0 (N+1 covered)</t>
  </si>
  <si>
    <t>INC-2025-058</t>
  </si>
  <si>
    <t>2025-10-30</t>
  </si>
  <si>
    <t>Failed to reach rated load during scheduled load-bank test.</t>
  </si>
  <si>
    <t>Fuel filter restriction.</t>
  </si>
  <si>
    <t>Scheduled PM (PM-GENS-02)</t>
  </si>
  <si>
    <t>N/A (test)</t>
  </si>
  <si>
    <t>INC-2026-009</t>
  </si>
  <si>
    <t>2026-02-14</t>
  </si>
  <si>
    <t>SIN11-XFMR-01</t>
  </si>
  <si>
    <t>Elevated top-oil temperature alarm during high-load period.</t>
  </si>
  <si>
    <t>Cooling fan controller fault.</t>
  </si>
  <si>
    <t>0 (corrected same shift)</t>
  </si>
  <si>
    <t>INC-2026-021</t>
  </si>
  <si>
    <t>2026-05-02</t>
  </si>
  <si>
    <t>Unplanned chiller trip on high discharge pressure.</t>
  </si>
  <si>
    <t>Condenser water flow restriction.</t>
  </si>
  <si>
    <t>0.5 (N+1 covered)</t>
  </si>
  <si>
    <t>INC-2026-033</t>
  </si>
  <si>
    <t>2026-06-19</t>
  </si>
  <si>
    <t>Breaker overheating identified during routine inspection.</t>
  </si>
  <si>
    <t>Loose termination.</t>
  </si>
  <si>
    <t>Scheduled PM Inspection</t>
  </si>
  <si>
    <t>ID</t>
  </si>
  <si>
    <t>Likelihood</t>
  </si>
  <si>
    <t>Impact</t>
  </si>
  <si>
    <t>Mitigation / Response</t>
  </si>
  <si>
    <t>Owner</t>
  </si>
  <si>
    <t>RSK-001</t>
  </si>
  <si>
    <t>Risk</t>
  </si>
  <si>
    <t>Limited historical data on asset condition prior to PoC.</t>
  </si>
  <si>
    <t>Establish baseline operating profiles during initial commissioning weeks.</t>
  </si>
  <si>
    <t>RSK-002</t>
  </si>
  <si>
    <t>Live site access restrictions limit installation windows.</t>
  </si>
  <si>
    <t>Coordinate sensor installation during approved maintenance windows.</t>
  </si>
  <si>
    <t>Site Leadership</t>
  </si>
  <si>
    <t>RSK-003</t>
  </si>
  <si>
    <t>Sensor communication issues (wireless interference, gateway outage).</t>
  </si>
  <si>
    <t>Use redundant collection methods and offline data buffering.</t>
  </si>
  <si>
    <t>RSK-004</t>
  </si>
  <si>
    <t>Change resistance from site operations teams.</t>
  </si>
  <si>
    <t>Stakeholder engagement, training, and clear MOP alignment.</t>
  </si>
  <si>
    <t>Regional Operations</t>
  </si>
  <si>
    <t>RSK-005</t>
  </si>
  <si>
    <t>Data quality issues (sensor drift, calibration gaps).</t>
  </si>
  <si>
    <t>Data validation, cleansing, and periodic calibration checks.</t>
  </si>
  <si>
    <t>RSK-006</t>
  </si>
  <si>
    <t>Environmental noise impacts sensor accuracy (electrical/mechanical background noise).</t>
  </si>
  <si>
    <t>Multi-sensor correlation validation before alert escalation.</t>
  </si>
  <si>
    <t>ASM-001</t>
  </si>
  <si>
    <t>Assumption</t>
  </si>
  <si>
    <t>Digital Realty will provide network/VLAN and firewall access within agreed STEP timelines.</t>
  </si>
  <si>
    <t>High if delayed</t>
  </si>
  <si>
    <t>Confirmed in Technical Prereq Checklist prior to installation.</t>
  </si>
  <si>
    <t>Digital Realty IT/OT</t>
  </si>
  <si>
    <t>ASM-002</t>
  </si>
  <si>
    <t>Existing BMS/EPMS/DCIM systems expose the data points required without custom development.</t>
  </si>
  <si>
    <t>High if false</t>
  </si>
  <si>
    <t>Validate integration points during Detailed Technical Solution Design (SOW 5.1).</t>
  </si>
  <si>
    <t>DEP-001</t>
  </si>
  <si>
    <t>Dependency</t>
  </si>
  <si>
    <t>Final Asset Scope Matrix approval by Digital Realty before installation begins (SOW 3.3).</t>
  </si>
  <si>
    <t>Blocks installation</t>
  </si>
  <si>
    <t>Submit within 10 business days of project initiation; track approval status.</t>
  </si>
  <si>
    <t>Digital Realty Reliability Engineering</t>
  </si>
  <si>
    <t>Pending Approval</t>
  </si>
  <si>
    <t>DEP-002</t>
  </si>
  <si>
    <t>Site Leadership approval of maintenance/change windows for non-intrusive installation.</t>
  </si>
  <si>
    <t>Coordinate schedule via Site Readiness Checklist.</t>
  </si>
  <si>
    <t>SOW 5.2 Category</t>
  </si>
  <si>
    <t>Checklist Item</t>
  </si>
  <si>
    <t>Applies To</t>
  </si>
  <si>
    <t>Site prerequisites &amp; readiness</t>
  </si>
  <si>
    <t>Confirm selected PoC data hall/zone and physical access route</t>
  </si>
  <si>
    <t>All 6 Sites</t>
  </si>
  <si>
    <t>Not Started</t>
  </si>
  <si>
    <t>Confirm site safety induction/orientation completed for vendor personnel</t>
  </si>
  <si>
    <t>System access &amp; permissions</t>
  </si>
  <si>
    <t>Provision read-only BMS/EPMS/DCIM accounts for vendor analytics platform</t>
  </si>
  <si>
    <t>Data sources &amp; availability</t>
  </si>
  <si>
    <t>Confirm 12 months of CMMS maintenance history exportable for baseline</t>
  </si>
  <si>
    <t>Asset Management</t>
  </si>
  <si>
    <t>Asset information &amp; documentation</t>
  </si>
  <si>
    <t>Provide as-built drawings and OEM manuals for in-scope assets</t>
  </si>
  <si>
    <t>Infrastructure &amp; network</t>
  </si>
  <si>
    <t>Confirm available network drops / wireless coverage in PoC zone</t>
  </si>
  <si>
    <t>Connectivity &amp; integration</t>
  </si>
  <si>
    <t>Validate BMS/EPMS/DCIM API or gateway integration endpoints</t>
  </si>
  <si>
    <t>Cybersecurity &amp; compliance</t>
  </si>
  <si>
    <t>Complete cybersecurity review of sensor/gateway data pathway</t>
  </si>
  <si>
    <t>Hardware / software / licensing</t>
  </si>
  <si>
    <t>Confirm sensor hardware and analytics platform licenses procured</t>
  </si>
  <si>
    <t>Environmental &amp; installation</t>
  </si>
  <si>
    <t>Confirm mounting locations meet OEM environmental specifications</t>
  </si>
  <si>
    <t>Site access &amp; scheduling</t>
  </si>
  <si>
    <t>Agree installation schedule and escort requirements per site</t>
  </si>
  <si>
    <t>Change management / maintenance windows</t>
  </si>
  <si>
    <t>Approve Method of Procedure (MOP) for non-intrusive installation</t>
  </si>
  <si>
    <t>Digital Realty resources &amp; stakeholders</t>
  </si>
  <si>
    <t>Confirm named Site Engineering and Reliability Engineering contacts</t>
  </si>
  <si>
    <t>Vendor dependencies &amp; assumptions</t>
  </si>
  <si>
    <t>Confirm vendor technology partner (sensor OEM) selected and available</t>
  </si>
  <si>
    <t>Required approvals</t>
  </si>
  <si>
    <t>Final Asset Scope Matrix and Solution Design Package approved (SOW 5.1/3.3)</t>
  </si>
  <si>
    <t>Network</t>
  </si>
  <si>
    <t>VLAN / subnet allocated for sensor gateways</t>
  </si>
  <si>
    <t>Firewall rules approved for gateway-to-cloud analytics traffic</t>
  </si>
  <si>
    <t>Cybersecurity</t>
  </si>
  <si>
    <t>Sensor/gateway firmware security review completed</t>
  </si>
  <si>
    <t>Data-in-transit and data-at-rest encryption confirmed</t>
  </si>
  <si>
    <t>Power</t>
  </si>
  <si>
    <t>Local power source identified for sensor gateways (non-critical circuit)</t>
  </si>
  <si>
    <t>Mounting / Installation</t>
  </si>
  <si>
    <t>Mounting locations identified and approved (non-intrusive, no shutdown)</t>
  </si>
  <si>
    <t>Integration</t>
  </si>
  <si>
    <t>BMS/EPMS/DCIM data-point mapping confirmed against Section 4.1 sources</t>
  </si>
  <si>
    <t>CMMS maintenance-history export format confirmed</t>
  </si>
  <si>
    <t>Software / Licensing</t>
  </si>
  <si>
    <t>Analytics dashboard licenses provisioned for named users</t>
  </si>
  <si>
    <t>Access</t>
  </si>
  <si>
    <t>Vendor personnel badge access and escort requirements confirmed</t>
  </si>
  <si>
    <t>Change Management</t>
  </si>
  <si>
    <t>MOP submitted and approved for installation/commissioning activities</t>
  </si>
  <si>
    <t>Training</t>
  </si>
  <si>
    <t>Operations team training session scheduled (SOW 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</si>
</sst>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font>
      <sz val="11"/>
      <color theme="1"/>
      <name val="Calibri"/>
      <family val="2"/>
      <charset val="1"/>
    </font>
    <font>
      <b/>
      <sz val="16"/>
      <color rgb="FF1F3864"/>
      <name val="Arial"/>
      <charset val="1"/>
    </font>
    <font>
      <b/>
      <sz val="12"/>
      <color rgb="FF1F3864"/>
      <name val="Arial"/>
      <charset val="1"/>
    </font>
    <font>
      <sz val="10"/>
      <name val="Arial"/>
      <charset val="1"/>
    </font>
    <font>
      <b/>
      <sz val="10"/>
      <color rgb="FFFFFFFF"/>
      <name val="Arial"/>
      <charset val="1"/>
    </font>
  </fonts>
  <fills count="8">
    <fill>
      <patternFill patternType="none"/>
    </fill>
    <fill>
      <patternFill patternType="gray125"/>
    </fill>
    <fill>
      <patternFill patternType="solid">
        <fgColor rgb="FF1F3864"/>
        <bgColor rgb="FF333333"/>
      </patternFill>
    </fill>
    <fill>
      <patternFill patternType="solid">
        <fgColor rgb="FFFFF2CC"/>
        <bgColor rgb="FFFFF9E6"/>
      </patternFill>
    </fill>
    <fill>
      <patternFill patternType="solid">
        <fgColor rgb="FFFCE4E4"/>
        <bgColor rgb="FFFFF2CC"/>
      </patternFill>
    </fill>
    <fill>
      <patternFill patternType="solid">
        <fgColor rgb="FFFFF9E6"/>
        <bgColor rgb="FFFFFFFF"/>
      </patternFill>
    </fill>
    <fill>
      <patternFill patternType="solid">
        <fgColor rgb="FFE2EFDA"/>
        <bgColor rgb="FFD9E2F3"/>
      </patternFill>
    </fill>
    <fill>
      <patternFill patternType="solid">
        <fgColor rgb="FFD9E2F3"/>
        <b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xfId="0"/>
    <xf numFmtId="0" fontId="1" fillId="0" borderId="0" xfId="0" applyFont="1" applyAlignment="1">
      <alignment wrapText="1"/>
    </xf>
    <xf numFmtId="0" fontId="2" fillId="0" borderId="0" xfId="0" applyFont="1"/>
    <xf numFmtId="0" fontId="3" fillId="0" borderId="0" xfId="0" applyFont="1" applyAlignment="1">
      <alignment vertical="top" wrapText="1"/>
    </xf>
    <xf numFmtId="0" fontId="4" fillId="2" borderId="1" xfId="0" applyFont="1" applyFill="1" applyBorder="1" applyAlignment="1">
      <alignment horizontal="center" vertical="center" wrapText="1"/>
    </xf>
    <xf numFmtId="0" fontId="3" fillId="0" borderId="1" xfId="0" applyFont="1" applyBorder="1" applyAlignment="1">
      <alignment vertical="top"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164" fontId="3" fillId="0" borderId="1" xfId="0" applyNumberFormat="1" applyFont="1" applyBorder="1" applyAlignment="1">
      <alignment vertical="top" wrapText="1"/>
    </xf>
    <xf numFmtId="9" fontId="3" fillId="0" borderId="1" xfId="0" applyNumberFormat="1" applyFont="1" applyBorder="1" applyAlignment="1">
      <alignment vertical="top" wrapText="1"/>
    </xf>
    <xf numFmtId="0" fontId="3" fillId="7"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9E6"/>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2CC"/>
      <rgbColor rgb="FF99CCFF"/>
      <rgbColor rgb="FFFF99CC"/>
      <rgbColor rgb="FFCC99FF"/>
      <rgbColor rgb="FFFCE4E4"/>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42"/>
  <sheetViews>
    <sheetView showGridLines="0" tabSelected="1" zoomScaleNormal="100" workbookViewId="0"/>
  </sheetViews>
  <sheetFormatPr defaultColWidth="8.7109375" defaultRowHeight="15"/>
  <cols>
    <col min="1" max="1" width="4" customWidth="1"/>
    <col min="2" max="2" width="110" customWidth="1"/>
  </cols>
  <sheetData>
    <row r="2" spans="2:2" ht="18.600000000000001">
      <c r="B2" s="1" t="s">
        <v>0</v>
      </c>
    </row>
    <row r="4" spans="2:2">
      <c r="B4" s="2" t="s">
        <v>1</v>
      </c>
    </row>
    <row r="5" spans="2:2" ht="105" customHeight="1">
      <c r="B5" s="3" t="s">
        <v>2</v>
      </c>
    </row>
    <row r="7" spans="2:2">
      <c r="B7" s="2" t="s">
        <v>3</v>
      </c>
    </row>
    <row r="8" spans="2:2" ht="90" customHeight="1">
      <c r="B8" s="3" t="s">
        <v>4</v>
      </c>
    </row>
    <row r="10" spans="2:2">
      <c r="B10" s="2" t="s">
        <v>5</v>
      </c>
    </row>
    <row r="11" spans="2:2" ht="15" customHeight="1">
      <c r="B11" s="3" t="s">
        <v>6</v>
      </c>
    </row>
    <row r="12" spans="2:2" ht="15" customHeight="1">
      <c r="B12" s="3" t="s">
        <v>7</v>
      </c>
    </row>
    <row r="13" spans="2:2" ht="15" customHeight="1">
      <c r="B13" s="3" t="s">
        <v>8</v>
      </c>
    </row>
    <row r="14" spans="2:2" ht="15" customHeight="1">
      <c r="B14" s="3" t="s">
        <v>9</v>
      </c>
    </row>
    <row r="15" spans="2:2" ht="15" customHeight="1">
      <c r="B15" s="3" t="s">
        <v>10</v>
      </c>
    </row>
    <row r="16" spans="2:2" ht="15" customHeight="1">
      <c r="B16" s="3" t="s">
        <v>11</v>
      </c>
    </row>
    <row r="17" spans="2:2" ht="15" customHeight="1">
      <c r="B17" s="3" t="s">
        <v>12</v>
      </c>
    </row>
    <row r="18" spans="2:2" ht="15" customHeight="1">
      <c r="B18" s="3" t="s">
        <v>13</v>
      </c>
    </row>
    <row r="19" spans="2:2" ht="15" customHeight="1">
      <c r="B19" s="3" t="s">
        <v>14</v>
      </c>
    </row>
    <row r="20" spans="2:2" ht="15" customHeight="1">
      <c r="B20" s="3" t="s">
        <v>15</v>
      </c>
    </row>
    <row r="22" spans="2:2">
      <c r="B22" s="2" t="s">
        <v>16</v>
      </c>
    </row>
    <row r="23" spans="2:2" ht="60" customHeight="1">
      <c r="B23" s="3" t="s">
        <v>17</v>
      </c>
    </row>
    <row r="25" spans="2:2">
      <c r="B25" s="2" t="s">
        <v>18</v>
      </c>
    </row>
    <row r="26" spans="2:2" ht="15" customHeight="1">
      <c r="B26" s="3" t="s">
        <v>19</v>
      </c>
    </row>
    <row r="27" spans="2:2" ht="15" customHeight="1">
      <c r="B27" s="3" t="s">
        <v>20</v>
      </c>
    </row>
    <row r="28" spans="2:2" ht="15" customHeight="1">
      <c r="B28" s="3" t="s">
        <v>21</v>
      </c>
    </row>
    <row r="29" spans="2:2" ht="15" customHeight="1">
      <c r="B29" s="3" t="s">
        <v>22</v>
      </c>
    </row>
    <row r="30" spans="2:2" ht="15" customHeight="1">
      <c r="B30" s="3" t="s">
        <v>23</v>
      </c>
    </row>
    <row r="31" spans="2:2" ht="15" customHeight="1">
      <c r="B31" s="3" t="s">
        <v>24</v>
      </c>
    </row>
    <row r="32" spans="2:2" ht="15" customHeight="1">
      <c r="B32" s="3" t="s">
        <v>25</v>
      </c>
    </row>
    <row r="33" spans="2:2" ht="15" customHeight="1">
      <c r="B33" s="3" t="s">
        <v>26</v>
      </c>
    </row>
    <row r="34" spans="2:2" ht="15" customHeight="1">
      <c r="B34" s="3" t="s">
        <v>27</v>
      </c>
    </row>
    <row r="35" spans="2:2" ht="15" customHeight="1">
      <c r="B35" s="3" t="s">
        <v>28</v>
      </c>
    </row>
    <row r="36" spans="2:2" ht="15" customHeight="1">
      <c r="B36" s="3" t="s">
        <v>29</v>
      </c>
    </row>
    <row r="37" spans="2:2" ht="15" customHeight="1">
      <c r="B37" s="3" t="s">
        <v>30</v>
      </c>
    </row>
    <row r="38" spans="2:2" ht="15" customHeight="1">
      <c r="B38" s="3" t="s">
        <v>31</v>
      </c>
    </row>
    <row r="39" spans="2:2" ht="15" customHeight="1">
      <c r="B39" s="3" t="s">
        <v>32</v>
      </c>
    </row>
    <row r="40" spans="2:2" ht="15" customHeight="1">
      <c r="B40" s="3" t="s">
        <v>33</v>
      </c>
    </row>
    <row r="41" spans="2:2" ht="15" customHeight="1">
      <c r="B41" s="3" t="s">
        <v>34</v>
      </c>
    </row>
    <row r="42" spans="2:2" ht="15" customHeight="1">
      <c r="B42" s="3" t="s">
        <v>35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9"/>
  <sheetViews>
    <sheetView zoomScaleNormal="100" workbookViewId="0">
      <pane ySplit="1" topLeftCell="A2" activePane="bottomLeft" state="frozen"/>
      <selection pane="bottomLeft"/>
    </sheetView>
  </sheetViews>
  <sheetFormatPr defaultColWidth="8.7109375" defaultRowHeight="15"/>
  <cols>
    <col min="1" max="1" width="10" customWidth="1"/>
    <col min="2" max="2" width="12" customWidth="1"/>
    <col min="3" max="3" width="16" customWidth="1"/>
    <col min="4" max="4" width="8" customWidth="1"/>
    <col min="5" max="5" width="22" customWidth="1"/>
    <col min="6" max="7" width="12" customWidth="1"/>
    <col min="8" max="8" width="42" customWidth="1"/>
    <col min="9" max="9" width="46" customWidth="1"/>
    <col min="10" max="10" width="24" customWidth="1"/>
    <col min="11" max="11" width="12" customWidth="1"/>
    <col min="12" max="12" width="14" customWidth="1"/>
    <col min="13" max="13" width="40" customWidth="1"/>
    <col min="14" max="14" width="42" customWidth="1"/>
  </cols>
  <sheetData>
    <row r="1" spans="1:14" ht="35.1">
      <c r="A1" s="4" t="s">
        <v>36</v>
      </c>
      <c r="B1" s="4" t="s">
        <v>37</v>
      </c>
      <c r="C1" s="4" t="s">
        <v>38</v>
      </c>
      <c r="D1" s="4" t="s">
        <v>39</v>
      </c>
      <c r="E1" s="4" t="s">
        <v>40</v>
      </c>
      <c r="F1" s="4" t="s">
        <v>41</v>
      </c>
      <c r="G1" s="4" t="s">
        <v>42</v>
      </c>
      <c r="H1" s="4" t="s">
        <v>43</v>
      </c>
      <c r="I1" s="4" t="s">
        <v>44</v>
      </c>
      <c r="J1" s="4" t="s">
        <v>45</v>
      </c>
      <c r="K1" s="4" t="s">
        <v>46</v>
      </c>
      <c r="L1" s="4" t="s">
        <v>47</v>
      </c>
      <c r="M1" s="4" t="s">
        <v>48</v>
      </c>
      <c r="N1" s="4" t="s">
        <v>49</v>
      </c>
    </row>
    <row r="2" spans="1:14" ht="23.85">
      <c r="A2" s="5" t="s">
        <v>50</v>
      </c>
      <c r="B2" s="5" t="s">
        <v>51</v>
      </c>
      <c r="C2" s="5" t="s">
        <v>52</v>
      </c>
      <c r="D2" s="5" t="s">
        <v>53</v>
      </c>
      <c r="E2" s="5" t="s">
        <v>54</v>
      </c>
      <c r="F2" s="5" t="s">
        <v>55</v>
      </c>
      <c r="G2" s="5" t="s">
        <v>56</v>
      </c>
      <c r="H2" s="5" t="s">
        <v>57</v>
      </c>
      <c r="I2" s="5" t="s">
        <v>58</v>
      </c>
      <c r="J2" s="5" t="s">
        <v>59</v>
      </c>
      <c r="K2" s="5" t="s">
        <v>60</v>
      </c>
      <c r="L2" s="5" t="s">
        <v>61</v>
      </c>
      <c r="M2" s="5" t="s">
        <v>62</v>
      </c>
      <c r="N2" s="5" t="s">
        <v>63</v>
      </c>
    </row>
    <row r="3" spans="1:14" ht="23.85">
      <c r="A3" s="5" t="s">
        <v>64</v>
      </c>
      <c r="B3" s="5" t="s">
        <v>65</v>
      </c>
      <c r="C3" s="5" t="s">
        <v>66</v>
      </c>
      <c r="D3" s="5" t="s">
        <v>67</v>
      </c>
      <c r="E3" s="5" t="s">
        <v>54</v>
      </c>
      <c r="F3" s="5" t="s">
        <v>68</v>
      </c>
      <c r="G3" s="5" t="s">
        <v>69</v>
      </c>
      <c r="H3" s="5" t="s">
        <v>70</v>
      </c>
      <c r="I3" s="5" t="s">
        <v>71</v>
      </c>
      <c r="J3" s="5" t="s">
        <v>72</v>
      </c>
      <c r="K3" s="5" t="s">
        <v>60</v>
      </c>
      <c r="L3" s="5" t="s">
        <v>73</v>
      </c>
      <c r="M3" s="5" t="s">
        <v>74</v>
      </c>
      <c r="N3" s="5" t="s">
        <v>75</v>
      </c>
    </row>
    <row r="4" spans="1:14" ht="35.1">
      <c r="A4" s="5" t="s">
        <v>76</v>
      </c>
      <c r="B4" s="5" t="s">
        <v>77</v>
      </c>
      <c r="C4" s="5" t="s">
        <v>78</v>
      </c>
      <c r="D4" s="5" t="s">
        <v>79</v>
      </c>
      <c r="E4" s="5" t="s">
        <v>54</v>
      </c>
      <c r="F4" s="5" t="s">
        <v>80</v>
      </c>
      <c r="G4" s="5" t="s">
        <v>69</v>
      </c>
      <c r="H4" s="5" t="s">
        <v>81</v>
      </c>
      <c r="I4" s="5" t="s">
        <v>82</v>
      </c>
      <c r="J4" s="5" t="s">
        <v>83</v>
      </c>
      <c r="K4" s="5" t="s">
        <v>60</v>
      </c>
      <c r="L4" s="5" t="s">
        <v>84</v>
      </c>
      <c r="M4" s="5" t="s">
        <v>85</v>
      </c>
      <c r="N4" s="5" t="s">
        <v>86</v>
      </c>
    </row>
    <row r="5" spans="1:14" ht="23.85">
      <c r="A5" s="5" t="s">
        <v>87</v>
      </c>
      <c r="B5" s="5" t="s">
        <v>88</v>
      </c>
      <c r="C5" s="5" t="s">
        <v>89</v>
      </c>
      <c r="D5" s="5" t="s">
        <v>90</v>
      </c>
      <c r="E5" s="5" t="s">
        <v>54</v>
      </c>
      <c r="F5" s="5" t="s">
        <v>91</v>
      </c>
      <c r="G5" s="5" t="s">
        <v>56</v>
      </c>
      <c r="H5" s="5" t="s">
        <v>92</v>
      </c>
      <c r="I5" s="5" t="s">
        <v>93</v>
      </c>
      <c r="J5" s="5" t="s">
        <v>59</v>
      </c>
      <c r="K5" s="5" t="s">
        <v>94</v>
      </c>
      <c r="L5" s="5"/>
      <c r="M5" s="5" t="s">
        <v>95</v>
      </c>
      <c r="N5" s="5" t="s">
        <v>96</v>
      </c>
    </row>
    <row r="6" spans="1:14" ht="23.85">
      <c r="A6" s="5" t="s">
        <v>97</v>
      </c>
      <c r="B6" s="5" t="s">
        <v>98</v>
      </c>
      <c r="C6" s="5" t="s">
        <v>99</v>
      </c>
      <c r="D6" s="5" t="s">
        <v>100</v>
      </c>
      <c r="E6" s="5" t="s">
        <v>54</v>
      </c>
      <c r="F6" s="5" t="s">
        <v>101</v>
      </c>
      <c r="G6" s="5" t="s">
        <v>102</v>
      </c>
      <c r="H6" s="5" t="s">
        <v>103</v>
      </c>
      <c r="I6" s="5" t="s">
        <v>104</v>
      </c>
      <c r="J6" s="5" t="s">
        <v>59</v>
      </c>
      <c r="K6" s="5" t="s">
        <v>60</v>
      </c>
      <c r="L6" s="5" t="s">
        <v>98</v>
      </c>
      <c r="M6" s="5" t="s">
        <v>105</v>
      </c>
      <c r="N6" s="5" t="s">
        <v>106</v>
      </c>
    </row>
    <row r="7" spans="1:14" ht="23.85">
      <c r="A7" s="5" t="s">
        <v>107</v>
      </c>
      <c r="B7" s="5" t="s">
        <v>108</v>
      </c>
      <c r="C7" s="5" t="s">
        <v>109</v>
      </c>
      <c r="D7" s="5" t="s">
        <v>53</v>
      </c>
      <c r="E7" s="5" t="s">
        <v>54</v>
      </c>
      <c r="F7" s="5" t="s">
        <v>110</v>
      </c>
      <c r="G7" s="5" t="s">
        <v>102</v>
      </c>
      <c r="H7" s="5" t="s">
        <v>111</v>
      </c>
      <c r="I7" s="5" t="s">
        <v>112</v>
      </c>
      <c r="J7" s="5" t="s">
        <v>59</v>
      </c>
      <c r="K7" s="5" t="s">
        <v>60</v>
      </c>
      <c r="L7" s="5" t="s">
        <v>108</v>
      </c>
      <c r="M7" s="5" t="s">
        <v>113</v>
      </c>
      <c r="N7" s="5" t="s">
        <v>114</v>
      </c>
    </row>
    <row r="8" spans="1:14" ht="23.85">
      <c r="A8" s="5" t="s">
        <v>115</v>
      </c>
      <c r="B8" s="5" t="s">
        <v>116</v>
      </c>
      <c r="C8" s="5" t="s">
        <v>117</v>
      </c>
      <c r="D8" s="5" t="s">
        <v>79</v>
      </c>
      <c r="E8" s="5" t="s">
        <v>118</v>
      </c>
      <c r="F8" s="5" t="s">
        <v>119</v>
      </c>
      <c r="G8" s="5" t="s">
        <v>120</v>
      </c>
      <c r="H8" s="5" t="s">
        <v>121</v>
      </c>
      <c r="I8" s="5" t="s">
        <v>122</v>
      </c>
      <c r="J8" s="5" t="s">
        <v>123</v>
      </c>
      <c r="K8" s="5" t="s">
        <v>60</v>
      </c>
      <c r="L8" s="5" t="s">
        <v>116</v>
      </c>
      <c r="M8" s="5" t="s">
        <v>124</v>
      </c>
      <c r="N8" s="5" t="s">
        <v>125</v>
      </c>
    </row>
    <row r="9" spans="1:14" ht="23.85">
      <c r="A9" s="5" t="s">
        <v>126</v>
      </c>
      <c r="B9" s="5" t="s">
        <v>127</v>
      </c>
      <c r="C9" s="5" t="s">
        <v>128</v>
      </c>
      <c r="D9" s="5" t="s">
        <v>67</v>
      </c>
      <c r="E9" s="5" t="s">
        <v>129</v>
      </c>
      <c r="F9" s="5" t="s">
        <v>119</v>
      </c>
      <c r="G9" s="5" t="s">
        <v>102</v>
      </c>
      <c r="H9" s="5" t="s">
        <v>130</v>
      </c>
      <c r="I9" s="5" t="s">
        <v>131</v>
      </c>
      <c r="J9" s="5" t="s">
        <v>59</v>
      </c>
      <c r="K9" s="5" t="s">
        <v>60</v>
      </c>
      <c r="L9" s="5" t="s">
        <v>127</v>
      </c>
      <c r="M9" s="5" t="s">
        <v>132</v>
      </c>
      <c r="N9" s="5" t="s">
        <v>133</v>
      </c>
    </row>
  </sheetData>
  <autoFilter ref="A1:N9"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
  <sheetViews>
    <sheetView zoomScaleNormal="100" workbookViewId="0">
      <pane ySplit="1" topLeftCell="A2" activePane="bottomLeft" state="frozen"/>
      <selection pane="bottomLeft"/>
    </sheetView>
  </sheetViews>
  <sheetFormatPr defaultColWidth="8.7109375" defaultRowHeight="15"/>
  <cols>
    <col min="1" max="1" width="10" customWidth="1"/>
    <col min="2" max="3" width="16" customWidth="1"/>
    <col min="4" max="4" width="8" customWidth="1"/>
    <col min="5" max="5" width="18" customWidth="1"/>
    <col min="6" max="7" width="10" customWidth="1"/>
    <col min="8" max="8" width="44" customWidth="1"/>
    <col min="9" max="9" width="40" customWidth="1"/>
    <col min="10" max="10" width="16" customWidth="1"/>
    <col min="11" max="11" width="20" customWidth="1"/>
    <col min="12" max="12" width="14" customWidth="1"/>
    <col min="13" max="13" width="30" customWidth="1"/>
  </cols>
  <sheetData>
    <row r="1" spans="1:13" ht="23.85">
      <c r="A1" s="4" t="s">
        <v>134</v>
      </c>
      <c r="B1" s="4" t="s">
        <v>135</v>
      </c>
      <c r="C1" s="4" t="s">
        <v>38</v>
      </c>
      <c r="D1" s="4" t="s">
        <v>39</v>
      </c>
      <c r="E1" s="4" t="s">
        <v>136</v>
      </c>
      <c r="F1" s="4" t="s">
        <v>137</v>
      </c>
      <c r="G1" s="4" t="s">
        <v>138</v>
      </c>
      <c r="H1" s="4" t="s">
        <v>139</v>
      </c>
      <c r="I1" s="4" t="s">
        <v>140</v>
      </c>
      <c r="J1" s="4" t="s">
        <v>141</v>
      </c>
      <c r="K1" s="4" t="s">
        <v>46</v>
      </c>
      <c r="L1" s="4" t="s">
        <v>142</v>
      </c>
      <c r="M1" s="4" t="s">
        <v>143</v>
      </c>
    </row>
    <row r="2" spans="1:13" ht="23.85">
      <c r="A2" s="5" t="s">
        <v>55</v>
      </c>
      <c r="B2" s="5" t="s">
        <v>144</v>
      </c>
      <c r="C2" s="5" t="s">
        <v>52</v>
      </c>
      <c r="D2" s="5" t="s">
        <v>53</v>
      </c>
      <c r="E2" s="5" t="s">
        <v>145</v>
      </c>
      <c r="F2" s="5" t="s">
        <v>146</v>
      </c>
      <c r="G2" s="6" t="s">
        <v>56</v>
      </c>
      <c r="H2" s="5" t="s">
        <v>147</v>
      </c>
      <c r="I2" s="5" t="s">
        <v>148</v>
      </c>
      <c r="J2" s="5" t="s">
        <v>149</v>
      </c>
      <c r="K2" s="5" t="s">
        <v>150</v>
      </c>
      <c r="L2" s="5" t="s">
        <v>50</v>
      </c>
      <c r="M2" s="5" t="s">
        <v>151</v>
      </c>
    </row>
    <row r="3" spans="1:13" ht="23.85">
      <c r="A3" s="5" t="s">
        <v>68</v>
      </c>
      <c r="B3" s="5" t="s">
        <v>152</v>
      </c>
      <c r="C3" s="5" t="s">
        <v>66</v>
      </c>
      <c r="D3" s="5" t="s">
        <v>67</v>
      </c>
      <c r="E3" s="5" t="s">
        <v>153</v>
      </c>
      <c r="F3" s="5" t="s">
        <v>154</v>
      </c>
      <c r="G3" s="7" t="s">
        <v>69</v>
      </c>
      <c r="H3" s="5" t="s">
        <v>155</v>
      </c>
      <c r="I3" s="5" t="s">
        <v>156</v>
      </c>
      <c r="J3" s="5" t="s">
        <v>149</v>
      </c>
      <c r="K3" s="5" t="s">
        <v>150</v>
      </c>
      <c r="L3" s="5" t="s">
        <v>64</v>
      </c>
      <c r="M3" s="5" t="s">
        <v>151</v>
      </c>
    </row>
    <row r="4" spans="1:13" ht="23.85">
      <c r="A4" s="5" t="s">
        <v>80</v>
      </c>
      <c r="B4" s="5" t="s">
        <v>157</v>
      </c>
      <c r="C4" s="5" t="s">
        <v>78</v>
      </c>
      <c r="D4" s="5" t="s">
        <v>79</v>
      </c>
      <c r="E4" s="5" t="s">
        <v>158</v>
      </c>
      <c r="F4" s="5" t="s">
        <v>159</v>
      </c>
      <c r="G4" s="7" t="s">
        <v>69</v>
      </c>
      <c r="H4" s="5" t="s">
        <v>160</v>
      </c>
      <c r="I4" s="5" t="s">
        <v>161</v>
      </c>
      <c r="J4" s="5" t="s">
        <v>149</v>
      </c>
      <c r="K4" s="5" t="s">
        <v>150</v>
      </c>
      <c r="L4" s="5" t="s">
        <v>76</v>
      </c>
      <c r="M4" s="5" t="s">
        <v>151</v>
      </c>
    </row>
    <row r="5" spans="1:13" ht="23.85">
      <c r="A5" s="5" t="s">
        <v>91</v>
      </c>
      <c r="B5" s="5" t="s">
        <v>162</v>
      </c>
      <c r="C5" s="5" t="s">
        <v>89</v>
      </c>
      <c r="D5" s="5" t="s">
        <v>90</v>
      </c>
      <c r="E5" s="5" t="s">
        <v>153</v>
      </c>
      <c r="F5" s="5" t="s">
        <v>163</v>
      </c>
      <c r="G5" s="6" t="s">
        <v>56</v>
      </c>
      <c r="H5" s="5" t="s">
        <v>164</v>
      </c>
      <c r="I5" s="5" t="s">
        <v>165</v>
      </c>
      <c r="J5" s="5" t="s">
        <v>166</v>
      </c>
      <c r="K5" s="5" t="s">
        <v>167</v>
      </c>
      <c r="L5" s="5" t="s">
        <v>87</v>
      </c>
      <c r="M5" s="5" t="s">
        <v>168</v>
      </c>
    </row>
    <row r="6" spans="1:13" ht="23.85">
      <c r="A6" s="5" t="s">
        <v>101</v>
      </c>
      <c r="B6" s="5" t="s">
        <v>169</v>
      </c>
      <c r="C6" s="5" t="s">
        <v>99</v>
      </c>
      <c r="D6" s="5" t="s">
        <v>100</v>
      </c>
      <c r="E6" s="5" t="s">
        <v>145</v>
      </c>
      <c r="F6" s="5" t="s">
        <v>170</v>
      </c>
      <c r="G6" s="8" t="s">
        <v>102</v>
      </c>
      <c r="H6" s="5" t="s">
        <v>171</v>
      </c>
      <c r="I6" s="5" t="s">
        <v>172</v>
      </c>
      <c r="J6" s="5" t="s">
        <v>149</v>
      </c>
      <c r="K6" s="5" t="s">
        <v>150</v>
      </c>
      <c r="L6" s="5" t="s">
        <v>97</v>
      </c>
      <c r="M6" s="5" t="s">
        <v>151</v>
      </c>
    </row>
    <row r="7" spans="1:13" ht="35.1">
      <c r="A7" s="5" t="s">
        <v>173</v>
      </c>
      <c r="B7" s="5" t="s">
        <v>174</v>
      </c>
      <c r="C7" s="5" t="s">
        <v>175</v>
      </c>
      <c r="D7" s="5" t="s">
        <v>176</v>
      </c>
      <c r="E7" s="5" t="s">
        <v>145</v>
      </c>
      <c r="F7" s="5" t="s">
        <v>177</v>
      </c>
      <c r="G7" s="8" t="s">
        <v>102</v>
      </c>
      <c r="H7" s="5" t="s">
        <v>178</v>
      </c>
      <c r="I7" s="5" t="s">
        <v>179</v>
      </c>
      <c r="J7" s="5" t="s">
        <v>180</v>
      </c>
      <c r="K7" s="5" t="s">
        <v>181</v>
      </c>
      <c r="L7" s="5" t="s">
        <v>119</v>
      </c>
      <c r="M7" s="5" t="s">
        <v>182</v>
      </c>
    </row>
    <row r="8" spans="1:13" ht="23.85">
      <c r="A8" s="5" t="s">
        <v>110</v>
      </c>
      <c r="B8" s="5" t="s">
        <v>183</v>
      </c>
      <c r="C8" s="5" t="s">
        <v>109</v>
      </c>
      <c r="D8" s="5" t="s">
        <v>53</v>
      </c>
      <c r="E8" s="5" t="s">
        <v>153</v>
      </c>
      <c r="F8" s="5" t="s">
        <v>184</v>
      </c>
      <c r="G8" s="8" t="s">
        <v>102</v>
      </c>
      <c r="H8" s="5" t="s">
        <v>185</v>
      </c>
      <c r="I8" s="5" t="s">
        <v>186</v>
      </c>
      <c r="J8" s="5" t="s">
        <v>149</v>
      </c>
      <c r="K8" s="5" t="s">
        <v>150</v>
      </c>
      <c r="L8" s="5" t="s">
        <v>107</v>
      </c>
      <c r="M8" s="5" t="s">
        <v>151</v>
      </c>
    </row>
    <row r="9" spans="1:13" ht="23.85">
      <c r="A9" s="5" t="s">
        <v>187</v>
      </c>
      <c r="B9" s="5" t="s">
        <v>188</v>
      </c>
      <c r="C9" s="5" t="s">
        <v>189</v>
      </c>
      <c r="D9" s="5" t="s">
        <v>67</v>
      </c>
      <c r="E9" s="5" t="s">
        <v>158</v>
      </c>
      <c r="F9" s="5" t="s">
        <v>159</v>
      </c>
      <c r="G9" s="9" t="s">
        <v>190</v>
      </c>
      <c r="H9" s="5" t="s">
        <v>191</v>
      </c>
      <c r="I9" s="5" t="s">
        <v>192</v>
      </c>
      <c r="J9" s="5" t="s">
        <v>193</v>
      </c>
      <c r="K9" s="5" t="s">
        <v>194</v>
      </c>
      <c r="L9" s="5" t="s">
        <v>119</v>
      </c>
      <c r="M9" s="5" t="s">
        <v>168</v>
      </c>
    </row>
  </sheetData>
  <autoFilter ref="A1:M9"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5"/>
  <sheetViews>
    <sheetView zoomScaleNormal="100" workbookViewId="0">
      <pane ySplit="1" topLeftCell="A2" activePane="bottomLeft" state="frozen"/>
      <selection pane="bottomLeft"/>
    </sheetView>
  </sheetViews>
  <sheetFormatPr defaultColWidth="8.7109375" defaultRowHeight="15"/>
  <cols>
    <col min="1" max="1" width="10" customWidth="1"/>
    <col min="2" max="3" width="16" customWidth="1"/>
    <col min="4" max="5" width="12" customWidth="1"/>
    <col min="6" max="6" width="30" customWidth="1"/>
    <col min="7" max="7" width="26" customWidth="1"/>
    <col min="8" max="8" width="20" customWidth="1"/>
    <col min="9" max="9" width="12" customWidth="1"/>
  </cols>
  <sheetData>
    <row r="1" spans="1:9" ht="23.85">
      <c r="A1" s="4" t="s">
        <v>195</v>
      </c>
      <c r="B1" s="4" t="s">
        <v>135</v>
      </c>
      <c r="C1" s="4" t="s">
        <v>38</v>
      </c>
      <c r="D1" s="4" t="s">
        <v>196</v>
      </c>
      <c r="E1" s="4" t="s">
        <v>197</v>
      </c>
      <c r="F1" s="4" t="s">
        <v>198</v>
      </c>
      <c r="G1" s="4" t="s">
        <v>199</v>
      </c>
      <c r="H1" s="4" t="s">
        <v>46</v>
      </c>
      <c r="I1" s="4" t="s">
        <v>41</v>
      </c>
    </row>
    <row r="2" spans="1:9">
      <c r="A2" s="5" t="s">
        <v>200</v>
      </c>
      <c r="B2" s="5" t="s">
        <v>201</v>
      </c>
      <c r="C2" s="5" t="s">
        <v>52</v>
      </c>
      <c r="D2" s="5" t="s">
        <v>202</v>
      </c>
      <c r="E2" s="5" t="s">
        <v>203</v>
      </c>
      <c r="F2" s="5" t="s">
        <v>204</v>
      </c>
      <c r="G2" s="5" t="s">
        <v>205</v>
      </c>
      <c r="H2" s="5" t="s">
        <v>206</v>
      </c>
      <c r="I2" s="5" t="s">
        <v>119</v>
      </c>
    </row>
    <row r="3" spans="1:9">
      <c r="A3" s="5" t="s">
        <v>207</v>
      </c>
      <c r="B3" s="5" t="s">
        <v>144</v>
      </c>
      <c r="C3" s="5" t="s">
        <v>52</v>
      </c>
      <c r="D3" s="5" t="s">
        <v>202</v>
      </c>
      <c r="E3" s="5" t="s">
        <v>208</v>
      </c>
      <c r="F3" s="5" t="s">
        <v>204</v>
      </c>
      <c r="G3" s="5" t="s">
        <v>205</v>
      </c>
      <c r="H3" s="5" t="s">
        <v>209</v>
      </c>
      <c r="I3" s="5" t="s">
        <v>55</v>
      </c>
    </row>
    <row r="4" spans="1:9">
      <c r="A4" s="5" t="s">
        <v>210</v>
      </c>
      <c r="B4" s="5" t="s">
        <v>211</v>
      </c>
      <c r="C4" s="5" t="s">
        <v>52</v>
      </c>
      <c r="D4" s="5" t="s">
        <v>202</v>
      </c>
      <c r="E4" s="5" t="s">
        <v>212</v>
      </c>
      <c r="F4" s="5" t="s">
        <v>204</v>
      </c>
      <c r="G4" s="5" t="s">
        <v>205</v>
      </c>
      <c r="H4" s="5" t="s">
        <v>213</v>
      </c>
      <c r="I4" s="5" t="s">
        <v>119</v>
      </c>
    </row>
    <row r="5" spans="1:9">
      <c r="A5" s="5" t="s">
        <v>214</v>
      </c>
      <c r="B5" s="5" t="s">
        <v>215</v>
      </c>
      <c r="C5" s="5" t="s">
        <v>66</v>
      </c>
      <c r="D5" s="5" t="s">
        <v>216</v>
      </c>
      <c r="E5" s="5" t="s">
        <v>217</v>
      </c>
      <c r="F5" s="5" t="s">
        <v>218</v>
      </c>
      <c r="G5" s="5" t="s">
        <v>219</v>
      </c>
      <c r="H5" s="5" t="s">
        <v>206</v>
      </c>
      <c r="I5" s="5" t="s">
        <v>119</v>
      </c>
    </row>
    <row r="6" spans="1:9">
      <c r="A6" s="5" t="s">
        <v>220</v>
      </c>
      <c r="B6" s="5" t="s">
        <v>152</v>
      </c>
      <c r="C6" s="5" t="s">
        <v>66</v>
      </c>
      <c r="D6" s="5" t="s">
        <v>216</v>
      </c>
      <c r="E6" s="5" t="s">
        <v>221</v>
      </c>
      <c r="F6" s="5" t="s">
        <v>218</v>
      </c>
      <c r="G6" s="5" t="s">
        <v>219</v>
      </c>
      <c r="H6" s="5" t="s">
        <v>209</v>
      </c>
      <c r="I6" s="5" t="s">
        <v>68</v>
      </c>
    </row>
    <row r="7" spans="1:9">
      <c r="A7" s="5" t="s">
        <v>222</v>
      </c>
      <c r="B7" s="5" t="s">
        <v>223</v>
      </c>
      <c r="C7" s="5" t="s">
        <v>66</v>
      </c>
      <c r="D7" s="5" t="s">
        <v>216</v>
      </c>
      <c r="E7" s="5" t="s">
        <v>224</v>
      </c>
      <c r="F7" s="5" t="s">
        <v>225</v>
      </c>
      <c r="G7" s="5" t="s">
        <v>219</v>
      </c>
      <c r="H7" s="5" t="s">
        <v>213</v>
      </c>
      <c r="I7" s="5" t="s">
        <v>119</v>
      </c>
    </row>
    <row r="8" spans="1:9">
      <c r="A8" s="5" t="s">
        <v>226</v>
      </c>
      <c r="B8" s="5" t="s">
        <v>157</v>
      </c>
      <c r="C8" s="5" t="s">
        <v>78</v>
      </c>
      <c r="D8" s="5" t="s">
        <v>227</v>
      </c>
      <c r="E8" s="5" t="s">
        <v>228</v>
      </c>
      <c r="F8" s="5" t="s">
        <v>229</v>
      </c>
      <c r="G8" s="5" t="s">
        <v>230</v>
      </c>
      <c r="H8" s="5" t="s">
        <v>209</v>
      </c>
      <c r="I8" s="5" t="s">
        <v>80</v>
      </c>
    </row>
    <row r="9" spans="1:9">
      <c r="A9" s="5" t="s">
        <v>231</v>
      </c>
      <c r="B9" s="5" t="s">
        <v>232</v>
      </c>
      <c r="C9" s="5" t="s">
        <v>78</v>
      </c>
      <c r="D9" s="5" t="s">
        <v>227</v>
      </c>
      <c r="E9" s="5" t="s">
        <v>233</v>
      </c>
      <c r="F9" s="5" t="s">
        <v>234</v>
      </c>
      <c r="G9" s="5" t="s">
        <v>230</v>
      </c>
      <c r="H9" s="5" t="s">
        <v>213</v>
      </c>
      <c r="I9" s="5" t="s">
        <v>119</v>
      </c>
    </row>
    <row r="10" spans="1:9">
      <c r="A10" s="5" t="s">
        <v>235</v>
      </c>
      <c r="B10" s="5" t="s">
        <v>162</v>
      </c>
      <c r="C10" s="5" t="s">
        <v>89</v>
      </c>
      <c r="D10" s="5" t="s">
        <v>216</v>
      </c>
      <c r="E10" s="5" t="s">
        <v>236</v>
      </c>
      <c r="F10" s="5" t="s">
        <v>237</v>
      </c>
      <c r="G10" s="5" t="s">
        <v>219</v>
      </c>
      <c r="H10" s="5" t="s">
        <v>238</v>
      </c>
      <c r="I10" s="5" t="s">
        <v>91</v>
      </c>
    </row>
    <row r="11" spans="1:9">
      <c r="A11" s="5" t="s">
        <v>239</v>
      </c>
      <c r="B11" s="5" t="s">
        <v>169</v>
      </c>
      <c r="C11" s="5" t="s">
        <v>99</v>
      </c>
      <c r="D11" s="5" t="s">
        <v>202</v>
      </c>
      <c r="E11" s="5" t="s">
        <v>240</v>
      </c>
      <c r="F11" s="5" t="s">
        <v>204</v>
      </c>
      <c r="G11" s="5" t="s">
        <v>241</v>
      </c>
      <c r="H11" s="5" t="s">
        <v>238</v>
      </c>
      <c r="I11" s="5" t="s">
        <v>101</v>
      </c>
    </row>
    <row r="12" spans="1:9">
      <c r="A12" s="5" t="s">
        <v>242</v>
      </c>
      <c r="B12" s="5" t="s">
        <v>243</v>
      </c>
      <c r="C12" s="5" t="s">
        <v>99</v>
      </c>
      <c r="D12" s="5" t="s">
        <v>202</v>
      </c>
      <c r="E12" s="5" t="s">
        <v>244</v>
      </c>
      <c r="F12" s="5" t="s">
        <v>245</v>
      </c>
      <c r="G12" s="5" t="s">
        <v>241</v>
      </c>
      <c r="H12" s="5" t="s">
        <v>213</v>
      </c>
      <c r="I12" s="5" t="s">
        <v>119</v>
      </c>
    </row>
    <row r="13" spans="1:9">
      <c r="A13" s="5" t="s">
        <v>246</v>
      </c>
      <c r="B13" s="5" t="s">
        <v>174</v>
      </c>
      <c r="C13" s="5" t="s">
        <v>175</v>
      </c>
      <c r="D13" s="5" t="s">
        <v>202</v>
      </c>
      <c r="E13" s="5" t="s">
        <v>247</v>
      </c>
      <c r="F13" s="5" t="s">
        <v>204</v>
      </c>
      <c r="G13" s="5" t="s">
        <v>241</v>
      </c>
      <c r="H13" s="5" t="s">
        <v>238</v>
      </c>
      <c r="I13" s="5" t="s">
        <v>173</v>
      </c>
    </row>
    <row r="14" spans="1:9" ht="23.85">
      <c r="A14" s="5" t="s">
        <v>248</v>
      </c>
      <c r="B14" s="5" t="s">
        <v>183</v>
      </c>
      <c r="C14" s="5" t="s">
        <v>109</v>
      </c>
      <c r="D14" s="5" t="s">
        <v>216</v>
      </c>
      <c r="E14" s="5" t="s">
        <v>249</v>
      </c>
      <c r="F14" s="5" t="s">
        <v>250</v>
      </c>
      <c r="G14" s="5" t="s">
        <v>251</v>
      </c>
      <c r="H14" s="5" t="s">
        <v>238</v>
      </c>
      <c r="I14" s="5" t="s">
        <v>110</v>
      </c>
    </row>
    <row r="15" spans="1:9">
      <c r="A15" s="5" t="s">
        <v>252</v>
      </c>
      <c r="B15" s="5" t="s">
        <v>188</v>
      </c>
      <c r="C15" s="5" t="s">
        <v>189</v>
      </c>
      <c r="D15" s="5" t="s">
        <v>227</v>
      </c>
      <c r="E15" s="5" t="s">
        <v>253</v>
      </c>
      <c r="F15" s="5" t="s">
        <v>229</v>
      </c>
      <c r="G15" s="5" t="s">
        <v>230</v>
      </c>
      <c r="H15" s="5" t="s">
        <v>254</v>
      </c>
      <c r="I15" s="5" t="s">
        <v>187</v>
      </c>
    </row>
  </sheetData>
  <autoFilter ref="A1:I15"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3"/>
  <sheetViews>
    <sheetView zoomScaleNormal="100" workbookViewId="0">
      <pane ySplit="1" topLeftCell="A2" activePane="bottomLeft" state="frozen"/>
      <selection pane="bottomLeft"/>
    </sheetView>
  </sheetViews>
  <sheetFormatPr defaultColWidth="8.7109375" defaultRowHeight="15"/>
  <cols>
    <col min="1" max="1" width="10" customWidth="1"/>
    <col min="2" max="2" width="16" customWidth="1"/>
    <col min="3" max="3" width="8" customWidth="1"/>
    <col min="4" max="4" width="14" customWidth="1"/>
    <col min="5" max="5" width="20" customWidth="1"/>
    <col min="6" max="6" width="26" customWidth="1"/>
    <col min="7" max="7" width="10" customWidth="1"/>
    <col min="8" max="9" width="20" customWidth="1"/>
    <col min="10" max="10" width="14" customWidth="1"/>
  </cols>
  <sheetData>
    <row r="1" spans="1:10" ht="35.1">
      <c r="A1" s="4" t="s">
        <v>195</v>
      </c>
      <c r="B1" s="4" t="s">
        <v>255</v>
      </c>
      <c r="C1" s="4" t="s">
        <v>39</v>
      </c>
      <c r="D1" s="4" t="s">
        <v>256</v>
      </c>
      <c r="E1" s="4" t="s">
        <v>38</v>
      </c>
      <c r="F1" s="4" t="s">
        <v>257</v>
      </c>
      <c r="G1" s="4" t="s">
        <v>258</v>
      </c>
      <c r="H1" s="4" t="s">
        <v>259</v>
      </c>
      <c r="I1" s="4" t="s">
        <v>46</v>
      </c>
      <c r="J1" s="4" t="s">
        <v>260</v>
      </c>
    </row>
    <row r="2" spans="1:10">
      <c r="A2" s="5" t="s">
        <v>261</v>
      </c>
      <c r="B2" s="5" t="s">
        <v>262</v>
      </c>
      <c r="C2" s="5" t="s">
        <v>53</v>
      </c>
      <c r="D2" s="5" t="s">
        <v>263</v>
      </c>
      <c r="E2" s="5" t="s">
        <v>109</v>
      </c>
      <c r="F2" s="5" t="s">
        <v>264</v>
      </c>
      <c r="G2" s="5" t="s">
        <v>265</v>
      </c>
      <c r="H2" s="5" t="s">
        <v>266</v>
      </c>
      <c r="I2" s="5" t="s">
        <v>206</v>
      </c>
      <c r="J2" s="5" t="s">
        <v>119</v>
      </c>
    </row>
    <row r="3" spans="1:10">
      <c r="A3" s="5" t="s">
        <v>267</v>
      </c>
      <c r="B3" s="5" t="s">
        <v>262</v>
      </c>
      <c r="C3" s="5" t="s">
        <v>53</v>
      </c>
      <c r="D3" s="5" t="s">
        <v>263</v>
      </c>
      <c r="E3" s="5" t="s">
        <v>268</v>
      </c>
      <c r="F3" s="5" t="s">
        <v>269</v>
      </c>
      <c r="G3" s="5" t="s">
        <v>270</v>
      </c>
      <c r="H3" s="5" t="s">
        <v>266</v>
      </c>
      <c r="I3" s="5" t="s">
        <v>206</v>
      </c>
      <c r="J3" s="5" t="s">
        <v>119</v>
      </c>
    </row>
    <row r="4" spans="1:10">
      <c r="A4" s="5" t="s">
        <v>271</v>
      </c>
      <c r="B4" s="5" t="s">
        <v>262</v>
      </c>
      <c r="C4" s="5" t="s">
        <v>53</v>
      </c>
      <c r="D4" s="5" t="s">
        <v>263</v>
      </c>
      <c r="E4" s="5" t="s">
        <v>268</v>
      </c>
      <c r="F4" s="5" t="s">
        <v>272</v>
      </c>
      <c r="G4" s="5" t="s">
        <v>224</v>
      </c>
      <c r="H4" s="5" t="s">
        <v>273</v>
      </c>
      <c r="I4" s="5" t="s">
        <v>206</v>
      </c>
      <c r="J4" s="5" t="s">
        <v>119</v>
      </c>
    </row>
    <row r="5" spans="1:10">
      <c r="A5" s="5" t="s">
        <v>274</v>
      </c>
      <c r="B5" s="5" t="s">
        <v>275</v>
      </c>
      <c r="C5" s="5" t="s">
        <v>67</v>
      </c>
      <c r="D5" s="5" t="s">
        <v>276</v>
      </c>
      <c r="E5" s="5" t="s">
        <v>268</v>
      </c>
      <c r="F5" s="5" t="s">
        <v>269</v>
      </c>
      <c r="G5" s="5" t="s">
        <v>277</v>
      </c>
      <c r="H5" s="5" t="s">
        <v>266</v>
      </c>
      <c r="I5" s="5" t="s">
        <v>206</v>
      </c>
      <c r="J5" s="5" t="s">
        <v>119</v>
      </c>
    </row>
    <row r="6" spans="1:10">
      <c r="A6" s="5" t="s">
        <v>278</v>
      </c>
      <c r="B6" s="5" t="s">
        <v>279</v>
      </c>
      <c r="C6" s="5" t="s">
        <v>79</v>
      </c>
      <c r="D6" s="5" t="s">
        <v>280</v>
      </c>
      <c r="E6" s="5" t="s">
        <v>268</v>
      </c>
      <c r="F6" s="5" t="s">
        <v>281</v>
      </c>
      <c r="G6" s="5" t="s">
        <v>282</v>
      </c>
      <c r="H6" s="5" t="s">
        <v>283</v>
      </c>
      <c r="I6" s="5" t="s">
        <v>206</v>
      </c>
      <c r="J6" s="5" t="s">
        <v>119</v>
      </c>
    </row>
    <row r="7" spans="1:10">
      <c r="A7" s="5" t="s">
        <v>284</v>
      </c>
      <c r="B7" s="5" t="s">
        <v>285</v>
      </c>
      <c r="C7" s="5" t="s">
        <v>90</v>
      </c>
      <c r="D7" s="5" t="s">
        <v>286</v>
      </c>
      <c r="E7" s="5" t="s">
        <v>268</v>
      </c>
      <c r="F7" s="5" t="s">
        <v>269</v>
      </c>
      <c r="G7" s="5" t="s">
        <v>287</v>
      </c>
      <c r="H7" s="5" t="s">
        <v>266</v>
      </c>
      <c r="I7" s="5" t="s">
        <v>206</v>
      </c>
      <c r="J7" s="5" t="s">
        <v>119</v>
      </c>
    </row>
    <row r="8" spans="1:10">
      <c r="A8" s="5" t="s">
        <v>288</v>
      </c>
      <c r="B8" s="5" t="s">
        <v>289</v>
      </c>
      <c r="C8" s="5" t="s">
        <v>100</v>
      </c>
      <c r="D8" s="5" t="s">
        <v>290</v>
      </c>
      <c r="E8" s="5" t="s">
        <v>268</v>
      </c>
      <c r="F8" s="5" t="s">
        <v>272</v>
      </c>
      <c r="G8" s="5" t="s">
        <v>291</v>
      </c>
      <c r="H8" s="5" t="s">
        <v>273</v>
      </c>
      <c r="I8" s="5" t="s">
        <v>206</v>
      </c>
      <c r="J8" s="5" t="s">
        <v>119</v>
      </c>
    </row>
    <row r="9" spans="1:10">
      <c r="A9" s="5" t="s">
        <v>292</v>
      </c>
      <c r="B9" s="5" t="s">
        <v>293</v>
      </c>
      <c r="C9" s="5" t="s">
        <v>176</v>
      </c>
      <c r="D9" s="5" t="s">
        <v>294</v>
      </c>
      <c r="E9" s="5" t="s">
        <v>295</v>
      </c>
      <c r="F9" s="5" t="s">
        <v>264</v>
      </c>
      <c r="G9" s="5" t="s">
        <v>296</v>
      </c>
      <c r="H9" s="5" t="s">
        <v>266</v>
      </c>
      <c r="I9" s="5" t="s">
        <v>206</v>
      </c>
      <c r="J9" s="5" t="s">
        <v>119</v>
      </c>
    </row>
    <row r="10" spans="1:10">
      <c r="A10" s="5" t="s">
        <v>297</v>
      </c>
      <c r="B10" s="5" t="s">
        <v>298</v>
      </c>
      <c r="C10" s="5" t="s">
        <v>53</v>
      </c>
      <c r="D10" s="5" t="s">
        <v>263</v>
      </c>
      <c r="E10" s="5" t="s">
        <v>109</v>
      </c>
      <c r="F10" s="5" t="s">
        <v>264</v>
      </c>
      <c r="G10" s="5" t="s">
        <v>299</v>
      </c>
      <c r="H10" s="5" t="s">
        <v>266</v>
      </c>
      <c r="I10" s="5" t="s">
        <v>300</v>
      </c>
      <c r="J10" s="5" t="s">
        <v>110</v>
      </c>
    </row>
    <row r="11" spans="1:10">
      <c r="A11" s="5" t="s">
        <v>301</v>
      </c>
      <c r="B11" s="5" t="s">
        <v>302</v>
      </c>
      <c r="C11" s="5" t="s">
        <v>53</v>
      </c>
      <c r="D11" s="5" t="s">
        <v>263</v>
      </c>
      <c r="E11" s="5" t="s">
        <v>109</v>
      </c>
      <c r="F11" s="5" t="s">
        <v>303</v>
      </c>
      <c r="G11" s="5" t="s">
        <v>304</v>
      </c>
      <c r="H11" s="5" t="s">
        <v>305</v>
      </c>
      <c r="I11" s="5" t="s">
        <v>238</v>
      </c>
      <c r="J11" s="5" t="s">
        <v>110</v>
      </c>
    </row>
    <row r="12" spans="1:10">
      <c r="A12" s="5" t="s">
        <v>306</v>
      </c>
      <c r="B12" s="5" t="s">
        <v>307</v>
      </c>
      <c r="C12" s="5" t="s">
        <v>53</v>
      </c>
      <c r="D12" s="5" t="s">
        <v>263</v>
      </c>
      <c r="E12" s="5" t="s">
        <v>109</v>
      </c>
      <c r="F12" s="5" t="s">
        <v>264</v>
      </c>
      <c r="G12" s="5" t="s">
        <v>308</v>
      </c>
      <c r="H12" s="5" t="s">
        <v>225</v>
      </c>
      <c r="I12" s="5" t="s">
        <v>213</v>
      </c>
      <c r="J12" s="5" t="s">
        <v>119</v>
      </c>
    </row>
    <row r="13" spans="1:10">
      <c r="A13" s="5" t="s">
        <v>309</v>
      </c>
      <c r="B13" s="5" t="s">
        <v>310</v>
      </c>
      <c r="C13" s="5" t="s">
        <v>67</v>
      </c>
      <c r="D13" s="5" t="s">
        <v>276</v>
      </c>
      <c r="E13" s="5" t="s">
        <v>268</v>
      </c>
      <c r="F13" s="5" t="s">
        <v>269</v>
      </c>
      <c r="G13" s="5" t="s">
        <v>311</v>
      </c>
      <c r="H13" s="5" t="s">
        <v>266</v>
      </c>
      <c r="I13" s="5" t="s">
        <v>206</v>
      </c>
      <c r="J13" s="5" t="s">
        <v>119</v>
      </c>
    </row>
  </sheetData>
  <autoFilter ref="A1:J13" xr:uid="{00000000-0009-0000-0000-00000400000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5"/>
  <sheetViews>
    <sheetView zoomScaleNormal="100" workbookViewId="0">
      <pane ySplit="1" topLeftCell="A2" activePane="bottomLeft" state="frozen"/>
      <selection pane="bottomLeft"/>
    </sheetView>
  </sheetViews>
  <sheetFormatPr defaultColWidth="8.7109375" defaultRowHeight="15"/>
  <cols>
    <col min="1" max="1" width="10" customWidth="1"/>
    <col min="2" max="2" width="16" customWidth="1"/>
    <col min="3" max="3" width="8" customWidth="1"/>
    <col min="4" max="4" width="16" customWidth="1"/>
    <col min="5" max="5" width="30" customWidth="1"/>
    <col min="6" max="7" width="16" customWidth="1"/>
    <col min="8" max="8" width="26" customWidth="1"/>
    <col min="9" max="9" width="14" customWidth="1"/>
  </cols>
  <sheetData>
    <row r="1" spans="1:9" ht="35.1">
      <c r="A1" s="4" t="s">
        <v>195</v>
      </c>
      <c r="B1" s="4" t="s">
        <v>255</v>
      </c>
      <c r="C1" s="4" t="s">
        <v>39</v>
      </c>
      <c r="D1" s="4" t="s">
        <v>38</v>
      </c>
      <c r="E1" s="4" t="s">
        <v>312</v>
      </c>
      <c r="F1" s="4" t="s">
        <v>258</v>
      </c>
      <c r="G1" s="4" t="s">
        <v>259</v>
      </c>
      <c r="H1" s="4" t="s">
        <v>46</v>
      </c>
      <c r="I1" s="4" t="s">
        <v>260</v>
      </c>
    </row>
    <row r="2" spans="1:9" ht="23.85">
      <c r="A2" s="5" t="s">
        <v>313</v>
      </c>
      <c r="B2" s="5" t="s">
        <v>314</v>
      </c>
      <c r="C2" s="5" t="s">
        <v>79</v>
      </c>
      <c r="D2" s="5" t="s">
        <v>78</v>
      </c>
      <c r="E2" s="5" t="s">
        <v>315</v>
      </c>
      <c r="F2" s="5" t="s">
        <v>316</v>
      </c>
      <c r="G2" s="5" t="s">
        <v>317</v>
      </c>
      <c r="H2" s="5" t="s">
        <v>206</v>
      </c>
      <c r="I2" s="5" t="s">
        <v>119</v>
      </c>
    </row>
    <row r="3" spans="1:9" ht="23.85">
      <c r="A3" s="5" t="s">
        <v>318</v>
      </c>
      <c r="B3" s="5" t="s">
        <v>319</v>
      </c>
      <c r="C3" s="5" t="s">
        <v>79</v>
      </c>
      <c r="D3" s="5" t="s">
        <v>78</v>
      </c>
      <c r="E3" s="5" t="s">
        <v>320</v>
      </c>
      <c r="F3" s="5" t="s">
        <v>321</v>
      </c>
      <c r="G3" s="5" t="s">
        <v>322</v>
      </c>
      <c r="H3" s="5" t="s">
        <v>238</v>
      </c>
      <c r="I3" s="5" t="s">
        <v>80</v>
      </c>
    </row>
    <row r="4" spans="1:9" ht="23.85">
      <c r="A4" s="5" t="s">
        <v>323</v>
      </c>
      <c r="B4" s="5" t="s">
        <v>324</v>
      </c>
      <c r="C4" s="5" t="s">
        <v>79</v>
      </c>
      <c r="D4" s="5" t="s">
        <v>78</v>
      </c>
      <c r="E4" s="5" t="s">
        <v>325</v>
      </c>
      <c r="F4" s="5" t="s">
        <v>212</v>
      </c>
      <c r="G4" s="5" t="s">
        <v>326</v>
      </c>
      <c r="H4" s="5" t="s">
        <v>327</v>
      </c>
      <c r="I4" s="5" t="s">
        <v>80</v>
      </c>
    </row>
    <row r="5" spans="1:9" ht="23.85">
      <c r="A5" s="5" t="s">
        <v>328</v>
      </c>
      <c r="B5" s="5" t="s">
        <v>329</v>
      </c>
      <c r="C5" s="5" t="s">
        <v>79</v>
      </c>
      <c r="D5" s="5" t="s">
        <v>78</v>
      </c>
      <c r="E5" s="5" t="s">
        <v>330</v>
      </c>
      <c r="F5" s="5" t="s">
        <v>331</v>
      </c>
      <c r="G5" s="5" t="s">
        <v>332</v>
      </c>
      <c r="H5" s="5" t="s">
        <v>333</v>
      </c>
      <c r="I5" s="5" t="s">
        <v>80</v>
      </c>
    </row>
    <row r="6" spans="1:9" ht="23.85">
      <c r="A6" s="5" t="s">
        <v>334</v>
      </c>
      <c r="B6" s="5" t="s">
        <v>335</v>
      </c>
      <c r="C6" s="5" t="s">
        <v>90</v>
      </c>
      <c r="D6" s="5" t="s">
        <v>89</v>
      </c>
      <c r="E6" s="5" t="s">
        <v>336</v>
      </c>
      <c r="F6" s="5" t="s">
        <v>221</v>
      </c>
      <c r="G6" s="5" t="s">
        <v>337</v>
      </c>
      <c r="H6" s="5" t="s">
        <v>206</v>
      </c>
      <c r="I6" s="5" t="s">
        <v>119</v>
      </c>
    </row>
    <row r="7" spans="1:9" ht="23.85">
      <c r="A7" s="5" t="s">
        <v>338</v>
      </c>
      <c r="B7" s="5" t="s">
        <v>339</v>
      </c>
      <c r="C7" s="5" t="s">
        <v>90</v>
      </c>
      <c r="D7" s="5" t="s">
        <v>89</v>
      </c>
      <c r="E7" s="5" t="s">
        <v>336</v>
      </c>
      <c r="F7" s="5" t="s">
        <v>340</v>
      </c>
      <c r="G7" s="5" t="s">
        <v>337</v>
      </c>
      <c r="H7" s="5" t="s">
        <v>341</v>
      </c>
      <c r="I7" s="5" t="s">
        <v>91</v>
      </c>
    </row>
    <row r="8" spans="1:9" ht="23.85">
      <c r="A8" s="5" t="s">
        <v>342</v>
      </c>
      <c r="B8" s="5" t="s">
        <v>343</v>
      </c>
      <c r="C8" s="5" t="s">
        <v>67</v>
      </c>
      <c r="D8" s="5" t="s">
        <v>66</v>
      </c>
      <c r="E8" s="5" t="s">
        <v>344</v>
      </c>
      <c r="F8" s="5" t="s">
        <v>345</v>
      </c>
      <c r="G8" s="5" t="s">
        <v>326</v>
      </c>
      <c r="H8" s="5" t="s">
        <v>206</v>
      </c>
      <c r="I8" s="5" t="s">
        <v>119</v>
      </c>
    </row>
    <row r="9" spans="1:9" ht="23.85">
      <c r="A9" s="5" t="s">
        <v>346</v>
      </c>
      <c r="B9" s="5" t="s">
        <v>347</v>
      </c>
      <c r="C9" s="5" t="s">
        <v>67</v>
      </c>
      <c r="D9" s="5" t="s">
        <v>66</v>
      </c>
      <c r="E9" s="5" t="s">
        <v>348</v>
      </c>
      <c r="F9" s="5" t="s">
        <v>349</v>
      </c>
      <c r="G9" s="5" t="s">
        <v>350</v>
      </c>
      <c r="H9" s="5" t="s">
        <v>238</v>
      </c>
      <c r="I9" s="5" t="s">
        <v>68</v>
      </c>
    </row>
    <row r="10" spans="1:9" ht="23.85">
      <c r="A10" s="5" t="s">
        <v>351</v>
      </c>
      <c r="B10" s="5" t="s">
        <v>223</v>
      </c>
      <c r="C10" s="5" t="s">
        <v>67</v>
      </c>
      <c r="D10" s="5" t="s">
        <v>66</v>
      </c>
      <c r="E10" s="5" t="s">
        <v>348</v>
      </c>
      <c r="F10" s="5" t="s">
        <v>352</v>
      </c>
      <c r="G10" s="5" t="s">
        <v>353</v>
      </c>
      <c r="H10" s="5" t="s">
        <v>213</v>
      </c>
      <c r="I10" s="5" t="s">
        <v>119</v>
      </c>
    </row>
    <row r="11" spans="1:9" ht="23.85">
      <c r="A11" s="5" t="s">
        <v>354</v>
      </c>
      <c r="B11" s="5" t="s">
        <v>355</v>
      </c>
      <c r="C11" s="5" t="s">
        <v>67</v>
      </c>
      <c r="D11" s="5" t="s">
        <v>189</v>
      </c>
      <c r="E11" s="5" t="s">
        <v>356</v>
      </c>
      <c r="F11" s="5" t="s">
        <v>249</v>
      </c>
      <c r="G11" s="5" t="s">
        <v>337</v>
      </c>
      <c r="H11" s="5" t="s">
        <v>206</v>
      </c>
      <c r="I11" s="5" t="s">
        <v>119</v>
      </c>
    </row>
    <row r="12" spans="1:9" ht="23.85">
      <c r="A12" s="5" t="s">
        <v>357</v>
      </c>
      <c r="B12" s="5" t="s">
        <v>358</v>
      </c>
      <c r="C12" s="5" t="s">
        <v>53</v>
      </c>
      <c r="D12" s="5" t="s">
        <v>359</v>
      </c>
      <c r="E12" s="5" t="s">
        <v>360</v>
      </c>
      <c r="F12" s="5" t="s">
        <v>361</v>
      </c>
      <c r="G12" s="5" t="s">
        <v>326</v>
      </c>
      <c r="H12" s="5" t="s">
        <v>206</v>
      </c>
      <c r="I12" s="5" t="s">
        <v>119</v>
      </c>
    </row>
    <row r="13" spans="1:9" ht="23.85">
      <c r="A13" s="5" t="s">
        <v>362</v>
      </c>
      <c r="B13" s="5" t="s">
        <v>363</v>
      </c>
      <c r="C13" s="5" t="s">
        <v>100</v>
      </c>
      <c r="D13" s="5" t="s">
        <v>364</v>
      </c>
      <c r="E13" s="5" t="s">
        <v>365</v>
      </c>
      <c r="F13" s="5" t="s">
        <v>366</v>
      </c>
      <c r="G13" s="5" t="s">
        <v>367</v>
      </c>
      <c r="H13" s="5" t="s">
        <v>206</v>
      </c>
      <c r="I13" s="5" t="s">
        <v>119</v>
      </c>
    </row>
    <row r="14" spans="1:9" ht="23.85">
      <c r="A14" s="5" t="s">
        <v>368</v>
      </c>
      <c r="B14" s="5" t="s">
        <v>369</v>
      </c>
      <c r="C14" s="5" t="s">
        <v>176</v>
      </c>
      <c r="D14" s="5" t="s">
        <v>370</v>
      </c>
      <c r="E14" s="5" t="s">
        <v>371</v>
      </c>
      <c r="F14" s="5" t="s">
        <v>372</v>
      </c>
      <c r="G14" s="5" t="s">
        <v>373</v>
      </c>
      <c r="H14" s="5" t="s">
        <v>206</v>
      </c>
      <c r="I14" s="5" t="s">
        <v>119</v>
      </c>
    </row>
    <row r="15" spans="1:9" ht="23.85">
      <c r="A15" s="5" t="s">
        <v>374</v>
      </c>
      <c r="B15" s="5" t="s">
        <v>310</v>
      </c>
      <c r="C15" s="5" t="s">
        <v>90</v>
      </c>
      <c r="D15" s="5" t="s">
        <v>375</v>
      </c>
      <c r="E15" s="5" t="s">
        <v>315</v>
      </c>
      <c r="F15" s="5" t="s">
        <v>376</v>
      </c>
      <c r="G15" s="5" t="s">
        <v>317</v>
      </c>
      <c r="H15" s="5" t="s">
        <v>206</v>
      </c>
      <c r="I15" s="5" t="s">
        <v>119</v>
      </c>
    </row>
  </sheetData>
  <autoFilter ref="A1:I15" xr:uid="{00000000-0009-0000-0000-00000500000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3"/>
  <sheetViews>
    <sheetView zoomScaleNormal="100" workbookViewId="0">
      <pane ySplit="1" topLeftCell="A2" activePane="bottomLeft" state="frozen"/>
      <selection pane="bottomLeft"/>
    </sheetView>
  </sheetViews>
  <sheetFormatPr defaultColWidth="8.7109375" defaultRowHeight="15"/>
  <cols>
    <col min="1" max="2" width="12" customWidth="1"/>
    <col min="3" max="3" width="8" customWidth="1"/>
    <col min="4" max="4" width="26" customWidth="1"/>
    <col min="5" max="5" width="10" customWidth="1"/>
    <col min="6" max="6" width="14" customWidth="1"/>
    <col min="7" max="7" width="34" customWidth="1"/>
  </cols>
  <sheetData>
    <row r="1" spans="1:7">
      <c r="A1" s="4" t="s">
        <v>195</v>
      </c>
      <c r="B1" s="4" t="s">
        <v>377</v>
      </c>
      <c r="C1" s="4" t="s">
        <v>39</v>
      </c>
      <c r="D1" s="4" t="s">
        <v>378</v>
      </c>
      <c r="E1" s="4" t="s">
        <v>258</v>
      </c>
      <c r="F1" s="4" t="s">
        <v>259</v>
      </c>
      <c r="G1" s="4" t="s">
        <v>379</v>
      </c>
    </row>
    <row r="2" spans="1:7">
      <c r="A2" s="5" t="s">
        <v>380</v>
      </c>
      <c r="B2" s="5" t="s">
        <v>381</v>
      </c>
      <c r="C2" s="5" t="s">
        <v>53</v>
      </c>
      <c r="D2" s="5" t="s">
        <v>382</v>
      </c>
      <c r="E2" s="5" t="s">
        <v>383</v>
      </c>
      <c r="F2" s="5" t="s">
        <v>384</v>
      </c>
      <c r="G2" s="5" t="s">
        <v>385</v>
      </c>
    </row>
    <row r="3" spans="1:7">
      <c r="A3" s="5" t="s">
        <v>386</v>
      </c>
      <c r="B3" s="5" t="s">
        <v>381</v>
      </c>
      <c r="C3" s="5" t="s">
        <v>53</v>
      </c>
      <c r="D3" s="5" t="s">
        <v>387</v>
      </c>
      <c r="E3" s="5" t="s">
        <v>388</v>
      </c>
      <c r="F3" s="5" t="s">
        <v>389</v>
      </c>
      <c r="G3" s="5" t="s">
        <v>390</v>
      </c>
    </row>
    <row r="4" spans="1:7">
      <c r="A4" s="5" t="s">
        <v>391</v>
      </c>
      <c r="B4" s="5" t="s">
        <v>381</v>
      </c>
      <c r="C4" s="5" t="s">
        <v>67</v>
      </c>
      <c r="D4" s="5" t="s">
        <v>382</v>
      </c>
      <c r="E4" s="5" t="s">
        <v>392</v>
      </c>
      <c r="F4" s="5" t="s">
        <v>384</v>
      </c>
      <c r="G4" s="5" t="s">
        <v>385</v>
      </c>
    </row>
    <row r="5" spans="1:7">
      <c r="A5" s="5" t="s">
        <v>393</v>
      </c>
      <c r="B5" s="5" t="s">
        <v>381</v>
      </c>
      <c r="C5" s="5" t="s">
        <v>67</v>
      </c>
      <c r="D5" s="5" t="s">
        <v>394</v>
      </c>
      <c r="E5" s="5" t="s">
        <v>233</v>
      </c>
      <c r="F5" s="5" t="s">
        <v>389</v>
      </c>
      <c r="G5" s="5" t="s">
        <v>390</v>
      </c>
    </row>
    <row r="6" spans="1:7">
      <c r="A6" s="5" t="s">
        <v>395</v>
      </c>
      <c r="B6" s="5" t="s">
        <v>381</v>
      </c>
      <c r="C6" s="5" t="s">
        <v>79</v>
      </c>
      <c r="D6" s="5" t="s">
        <v>382</v>
      </c>
      <c r="E6" s="5" t="s">
        <v>396</v>
      </c>
      <c r="F6" s="5" t="s">
        <v>384</v>
      </c>
      <c r="G6" s="5" t="s">
        <v>397</v>
      </c>
    </row>
    <row r="7" spans="1:7">
      <c r="A7" s="5" t="s">
        <v>398</v>
      </c>
      <c r="B7" s="5" t="s">
        <v>381</v>
      </c>
      <c r="C7" s="5" t="s">
        <v>79</v>
      </c>
      <c r="D7" s="5" t="s">
        <v>387</v>
      </c>
      <c r="E7" s="5" t="s">
        <v>224</v>
      </c>
      <c r="F7" s="5" t="s">
        <v>389</v>
      </c>
      <c r="G7" s="5" t="s">
        <v>399</v>
      </c>
    </row>
    <row r="8" spans="1:7">
      <c r="A8" s="5" t="s">
        <v>400</v>
      </c>
      <c r="B8" s="5" t="s">
        <v>381</v>
      </c>
      <c r="C8" s="5" t="s">
        <v>90</v>
      </c>
      <c r="D8" s="5" t="s">
        <v>382</v>
      </c>
      <c r="E8" s="5" t="s">
        <v>401</v>
      </c>
      <c r="F8" s="5" t="s">
        <v>384</v>
      </c>
      <c r="G8" s="5" t="s">
        <v>397</v>
      </c>
    </row>
    <row r="9" spans="1:7">
      <c r="A9" s="5" t="s">
        <v>402</v>
      </c>
      <c r="B9" s="5" t="s">
        <v>381</v>
      </c>
      <c r="C9" s="5" t="s">
        <v>90</v>
      </c>
      <c r="D9" s="5" t="s">
        <v>387</v>
      </c>
      <c r="E9" s="5" t="s">
        <v>228</v>
      </c>
      <c r="F9" s="5" t="s">
        <v>389</v>
      </c>
      <c r="G9" s="5" t="s">
        <v>399</v>
      </c>
    </row>
    <row r="10" spans="1:7">
      <c r="A10" s="5" t="s">
        <v>403</v>
      </c>
      <c r="B10" s="5" t="s">
        <v>381</v>
      </c>
      <c r="C10" s="5" t="s">
        <v>100</v>
      </c>
      <c r="D10" s="5" t="s">
        <v>382</v>
      </c>
      <c r="E10" s="5" t="s">
        <v>404</v>
      </c>
      <c r="F10" s="5" t="s">
        <v>384</v>
      </c>
      <c r="G10" s="5" t="s">
        <v>405</v>
      </c>
    </row>
    <row r="11" spans="1:7">
      <c r="A11" s="5" t="s">
        <v>406</v>
      </c>
      <c r="B11" s="5" t="s">
        <v>381</v>
      </c>
      <c r="C11" s="5" t="s">
        <v>100</v>
      </c>
      <c r="D11" s="5" t="s">
        <v>394</v>
      </c>
      <c r="E11" s="5" t="s">
        <v>407</v>
      </c>
      <c r="F11" s="5" t="s">
        <v>389</v>
      </c>
      <c r="G11" s="5" t="s">
        <v>408</v>
      </c>
    </row>
    <row r="12" spans="1:7">
      <c r="A12" s="5" t="s">
        <v>409</v>
      </c>
      <c r="B12" s="5" t="s">
        <v>381</v>
      </c>
      <c r="C12" s="5" t="s">
        <v>176</v>
      </c>
      <c r="D12" s="5" t="s">
        <v>382</v>
      </c>
      <c r="E12" s="5" t="s">
        <v>410</v>
      </c>
      <c r="F12" s="5" t="s">
        <v>384</v>
      </c>
      <c r="G12" s="5" t="s">
        <v>385</v>
      </c>
    </row>
    <row r="13" spans="1:7">
      <c r="A13" s="5" t="s">
        <v>411</v>
      </c>
      <c r="B13" s="5" t="s">
        <v>412</v>
      </c>
      <c r="C13" s="5" t="s">
        <v>53</v>
      </c>
      <c r="D13" s="5" t="s">
        <v>382</v>
      </c>
      <c r="E13" s="5" t="s">
        <v>413</v>
      </c>
      <c r="F13" s="5" t="s">
        <v>384</v>
      </c>
      <c r="G13" s="5" t="s">
        <v>414</v>
      </c>
    </row>
  </sheetData>
  <autoFilter ref="A1:G13" xr:uid="{00000000-0009-0000-0000-00000600000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0"/>
  <sheetViews>
    <sheetView zoomScaleNormal="100" workbookViewId="0">
      <pane ySplit="1" topLeftCell="A2" activePane="bottomLeft" state="frozen"/>
      <selection pane="bottomLeft"/>
    </sheetView>
  </sheetViews>
  <sheetFormatPr defaultColWidth="8.7109375" defaultRowHeight="15"/>
  <cols>
    <col min="1" max="1" width="10" customWidth="1"/>
    <col min="2" max="2" width="16" customWidth="1"/>
    <col min="3" max="3" width="8" customWidth="1"/>
    <col min="4" max="4" width="16" customWidth="1"/>
    <col min="5" max="6" width="26" customWidth="1"/>
    <col min="7" max="7" width="34" customWidth="1"/>
    <col min="8" max="8" width="20" customWidth="1"/>
    <col min="9" max="9" width="14" customWidth="1"/>
  </cols>
  <sheetData>
    <row r="1" spans="1:9" ht="35.1">
      <c r="A1" s="4" t="s">
        <v>195</v>
      </c>
      <c r="B1" s="4" t="s">
        <v>255</v>
      </c>
      <c r="C1" s="4" t="s">
        <v>39</v>
      </c>
      <c r="D1" s="4" t="s">
        <v>38</v>
      </c>
      <c r="E1" s="4" t="s">
        <v>415</v>
      </c>
      <c r="F1" s="4" t="s">
        <v>416</v>
      </c>
      <c r="G1" s="4" t="s">
        <v>417</v>
      </c>
      <c r="H1" s="4" t="s">
        <v>46</v>
      </c>
      <c r="I1" s="4" t="s">
        <v>260</v>
      </c>
    </row>
    <row r="2" spans="1:9">
      <c r="A2" s="5" t="s">
        <v>418</v>
      </c>
      <c r="B2" s="5" t="s">
        <v>343</v>
      </c>
      <c r="C2" s="5" t="s">
        <v>67</v>
      </c>
      <c r="D2" s="5" t="s">
        <v>66</v>
      </c>
      <c r="E2" s="5" t="s">
        <v>419</v>
      </c>
      <c r="F2" s="5" t="s">
        <v>420</v>
      </c>
      <c r="G2" s="5" t="s">
        <v>421</v>
      </c>
      <c r="H2" s="5" t="s">
        <v>206</v>
      </c>
      <c r="I2" s="5" t="s">
        <v>119</v>
      </c>
    </row>
    <row r="3" spans="1:9">
      <c r="A3" s="5" t="s">
        <v>422</v>
      </c>
      <c r="B3" s="5" t="s">
        <v>347</v>
      </c>
      <c r="C3" s="5" t="s">
        <v>67</v>
      </c>
      <c r="D3" s="5" t="s">
        <v>66</v>
      </c>
      <c r="E3" s="5" t="s">
        <v>419</v>
      </c>
      <c r="F3" s="5" t="s">
        <v>420</v>
      </c>
      <c r="G3" s="5" t="s">
        <v>423</v>
      </c>
      <c r="H3" s="5" t="s">
        <v>206</v>
      </c>
      <c r="I3" s="5" t="s">
        <v>119</v>
      </c>
    </row>
    <row r="4" spans="1:9">
      <c r="A4" s="5" t="s">
        <v>424</v>
      </c>
      <c r="B4" s="5" t="s">
        <v>152</v>
      </c>
      <c r="C4" s="5" t="s">
        <v>67</v>
      </c>
      <c r="D4" s="5" t="s">
        <v>66</v>
      </c>
      <c r="E4" s="5" t="s">
        <v>419</v>
      </c>
      <c r="F4" s="5" t="s">
        <v>425</v>
      </c>
      <c r="G4" s="5" t="s">
        <v>426</v>
      </c>
      <c r="H4" s="5" t="s">
        <v>238</v>
      </c>
      <c r="I4" s="5" t="s">
        <v>68</v>
      </c>
    </row>
    <row r="5" spans="1:9">
      <c r="A5" s="5" t="s">
        <v>427</v>
      </c>
      <c r="B5" s="5" t="s">
        <v>428</v>
      </c>
      <c r="C5" s="5" t="s">
        <v>79</v>
      </c>
      <c r="D5" s="5" t="s">
        <v>117</v>
      </c>
      <c r="E5" s="5" t="s">
        <v>419</v>
      </c>
      <c r="F5" s="5" t="s">
        <v>429</v>
      </c>
      <c r="G5" s="5" t="s">
        <v>430</v>
      </c>
      <c r="H5" s="5" t="s">
        <v>206</v>
      </c>
      <c r="I5" s="5" t="s">
        <v>119</v>
      </c>
    </row>
    <row r="6" spans="1:9" ht="23.85">
      <c r="A6" s="5" t="s">
        <v>431</v>
      </c>
      <c r="B6" s="5" t="s">
        <v>169</v>
      </c>
      <c r="C6" s="5" t="s">
        <v>100</v>
      </c>
      <c r="D6" s="5" t="s">
        <v>99</v>
      </c>
      <c r="E6" s="5" t="s">
        <v>432</v>
      </c>
      <c r="F6" s="5" t="s">
        <v>433</v>
      </c>
      <c r="G6" s="5" t="s">
        <v>434</v>
      </c>
      <c r="H6" s="5" t="s">
        <v>238</v>
      </c>
      <c r="I6" s="5" t="s">
        <v>101</v>
      </c>
    </row>
    <row r="7" spans="1:9" ht="23.85">
      <c r="A7" s="5" t="s">
        <v>435</v>
      </c>
      <c r="B7" s="5" t="s">
        <v>243</v>
      </c>
      <c r="C7" s="5" t="s">
        <v>100</v>
      </c>
      <c r="D7" s="5" t="s">
        <v>99</v>
      </c>
      <c r="E7" s="5" t="s">
        <v>432</v>
      </c>
      <c r="F7" s="5" t="s">
        <v>436</v>
      </c>
      <c r="G7" s="5" t="s">
        <v>437</v>
      </c>
      <c r="H7" s="5" t="s">
        <v>213</v>
      </c>
      <c r="I7" s="5" t="s">
        <v>119</v>
      </c>
    </row>
    <row r="8" spans="1:9">
      <c r="A8" s="5" t="s">
        <v>438</v>
      </c>
      <c r="B8" s="5" t="s">
        <v>439</v>
      </c>
      <c r="C8" s="5" t="s">
        <v>90</v>
      </c>
      <c r="D8" s="5" t="s">
        <v>440</v>
      </c>
      <c r="E8" s="5" t="s">
        <v>441</v>
      </c>
      <c r="F8" s="5" t="s">
        <v>436</v>
      </c>
      <c r="G8" s="5" t="s">
        <v>442</v>
      </c>
      <c r="H8" s="5" t="s">
        <v>206</v>
      </c>
      <c r="I8" s="5" t="s">
        <v>119</v>
      </c>
    </row>
    <row r="9" spans="1:9" ht="23.85">
      <c r="A9" s="5" t="s">
        <v>443</v>
      </c>
      <c r="B9" s="5" t="s">
        <v>358</v>
      </c>
      <c r="C9" s="5" t="s">
        <v>53</v>
      </c>
      <c r="D9" s="5" t="s">
        <v>359</v>
      </c>
      <c r="E9" s="5" t="s">
        <v>444</v>
      </c>
      <c r="F9" s="5" t="s">
        <v>445</v>
      </c>
      <c r="G9" s="5" t="s">
        <v>446</v>
      </c>
      <c r="H9" s="5" t="s">
        <v>206</v>
      </c>
      <c r="I9" s="5" t="s">
        <v>119</v>
      </c>
    </row>
    <row r="10" spans="1:9">
      <c r="A10" s="5" t="s">
        <v>447</v>
      </c>
      <c r="B10" s="5" t="s">
        <v>448</v>
      </c>
      <c r="C10" s="5" t="s">
        <v>176</v>
      </c>
      <c r="D10" s="5" t="s">
        <v>370</v>
      </c>
      <c r="E10" s="5" t="s">
        <v>449</v>
      </c>
      <c r="F10" s="5" t="s">
        <v>450</v>
      </c>
      <c r="G10" s="5" t="s">
        <v>451</v>
      </c>
      <c r="H10" s="5" t="s">
        <v>452</v>
      </c>
      <c r="I10" s="5" t="s">
        <v>119</v>
      </c>
    </row>
  </sheetData>
  <autoFilter ref="A1:I10" xr:uid="{00000000-0009-0000-0000-000007000000}"/>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9"/>
  <sheetViews>
    <sheetView zoomScaleNormal="100" workbookViewId="0">
      <pane ySplit="1" topLeftCell="A2" activePane="bottomLeft" state="frozen"/>
      <selection pane="bottomLeft"/>
    </sheetView>
  </sheetViews>
  <sheetFormatPr defaultColWidth="8.7109375" defaultRowHeight="15"/>
  <cols>
    <col min="1" max="1" width="10" customWidth="1"/>
    <col min="2" max="2" width="16" customWidth="1"/>
    <col min="3" max="3" width="8" customWidth="1"/>
    <col min="4" max="4" width="16" customWidth="1"/>
    <col min="5" max="5" width="30" customWidth="1"/>
    <col min="6" max="6" width="14" customWidth="1"/>
    <col min="7" max="7" width="20" customWidth="1"/>
    <col min="8" max="9" width="16" customWidth="1"/>
    <col min="10" max="10" width="30" customWidth="1"/>
  </cols>
  <sheetData>
    <row r="1" spans="1:10" ht="23.85">
      <c r="A1" s="4" t="s">
        <v>195</v>
      </c>
      <c r="B1" s="4" t="s">
        <v>255</v>
      </c>
      <c r="C1" s="4" t="s">
        <v>39</v>
      </c>
      <c r="D1" s="4" t="s">
        <v>38</v>
      </c>
      <c r="E1" s="4" t="s">
        <v>453</v>
      </c>
      <c r="F1" s="4" t="s">
        <v>454</v>
      </c>
      <c r="G1" s="4" t="s">
        <v>455</v>
      </c>
      <c r="H1" s="4" t="s">
        <v>456</v>
      </c>
      <c r="I1" s="4" t="s">
        <v>457</v>
      </c>
      <c r="J1" s="4" t="s">
        <v>46</v>
      </c>
    </row>
    <row r="2" spans="1:10">
      <c r="A2" s="5" t="s">
        <v>458</v>
      </c>
      <c r="B2" s="5" t="s">
        <v>343</v>
      </c>
      <c r="C2" s="5" t="s">
        <v>67</v>
      </c>
      <c r="D2" s="5" t="s">
        <v>66</v>
      </c>
      <c r="E2" s="5" t="s">
        <v>459</v>
      </c>
      <c r="F2" s="5" t="s">
        <v>460</v>
      </c>
      <c r="G2" s="5" t="s">
        <v>461</v>
      </c>
      <c r="H2" s="5" t="s">
        <v>462</v>
      </c>
      <c r="I2" s="5" t="s">
        <v>463</v>
      </c>
      <c r="J2" s="5" t="s">
        <v>206</v>
      </c>
    </row>
    <row r="3" spans="1:10">
      <c r="A3" s="5" t="s">
        <v>464</v>
      </c>
      <c r="B3" s="5" t="s">
        <v>465</v>
      </c>
      <c r="C3" s="5" t="s">
        <v>79</v>
      </c>
      <c r="D3" s="5" t="s">
        <v>117</v>
      </c>
      <c r="E3" s="5" t="s">
        <v>466</v>
      </c>
      <c r="F3" s="5" t="s">
        <v>467</v>
      </c>
      <c r="G3" s="5" t="s">
        <v>468</v>
      </c>
      <c r="H3" s="5" t="s">
        <v>253</v>
      </c>
      <c r="I3" s="5" t="s">
        <v>469</v>
      </c>
      <c r="J3" s="5" t="s">
        <v>206</v>
      </c>
    </row>
    <row r="4" spans="1:10">
      <c r="A4" s="5" t="s">
        <v>470</v>
      </c>
      <c r="B4" s="5" t="s">
        <v>465</v>
      </c>
      <c r="C4" s="5" t="s">
        <v>79</v>
      </c>
      <c r="D4" s="5" t="s">
        <v>117</v>
      </c>
      <c r="E4" s="5" t="s">
        <v>471</v>
      </c>
      <c r="F4" s="5" t="s">
        <v>472</v>
      </c>
      <c r="G4" s="5" t="s">
        <v>383</v>
      </c>
      <c r="H4" s="5" t="s">
        <v>473</v>
      </c>
      <c r="I4" s="5" t="s">
        <v>474</v>
      </c>
      <c r="J4" s="5" t="s">
        <v>475</v>
      </c>
    </row>
    <row r="5" spans="1:10">
      <c r="A5" s="5" t="s">
        <v>476</v>
      </c>
      <c r="B5" s="5" t="s">
        <v>477</v>
      </c>
      <c r="C5" s="5" t="s">
        <v>79</v>
      </c>
      <c r="D5" s="5" t="s">
        <v>117</v>
      </c>
      <c r="E5" s="5" t="s">
        <v>471</v>
      </c>
      <c r="F5" s="5" t="s">
        <v>478</v>
      </c>
      <c r="G5" s="5" t="s">
        <v>479</v>
      </c>
      <c r="H5" s="5" t="s">
        <v>473</v>
      </c>
      <c r="I5" s="5" t="s">
        <v>480</v>
      </c>
      <c r="J5" s="5" t="s">
        <v>481</v>
      </c>
    </row>
    <row r="6" spans="1:10">
      <c r="A6" s="5" t="s">
        <v>482</v>
      </c>
      <c r="B6" s="5" t="s">
        <v>289</v>
      </c>
      <c r="C6" s="5" t="s">
        <v>100</v>
      </c>
      <c r="D6" s="5" t="s">
        <v>483</v>
      </c>
      <c r="E6" s="5" t="s">
        <v>484</v>
      </c>
      <c r="F6" s="5" t="s">
        <v>485</v>
      </c>
      <c r="G6" s="5" t="s">
        <v>486</v>
      </c>
      <c r="H6" s="5" t="s">
        <v>487</v>
      </c>
      <c r="I6" s="5" t="s">
        <v>488</v>
      </c>
      <c r="J6" s="5" t="s">
        <v>206</v>
      </c>
    </row>
    <row r="7" spans="1:10">
      <c r="A7" s="5" t="s">
        <v>489</v>
      </c>
      <c r="B7" s="5" t="s">
        <v>448</v>
      </c>
      <c r="C7" s="5" t="s">
        <v>100</v>
      </c>
      <c r="D7" s="5" t="s">
        <v>483</v>
      </c>
      <c r="E7" s="5" t="s">
        <v>490</v>
      </c>
      <c r="F7" s="5" t="s">
        <v>491</v>
      </c>
      <c r="G7" s="5" t="s">
        <v>492</v>
      </c>
      <c r="H7" s="5" t="s">
        <v>487</v>
      </c>
      <c r="I7" s="5" t="s">
        <v>493</v>
      </c>
      <c r="J7" s="5" t="s">
        <v>206</v>
      </c>
    </row>
    <row r="8" spans="1:10">
      <c r="A8" s="5" t="s">
        <v>494</v>
      </c>
      <c r="B8" s="5" t="s">
        <v>293</v>
      </c>
      <c r="C8" s="5" t="s">
        <v>176</v>
      </c>
      <c r="D8" s="5" t="s">
        <v>495</v>
      </c>
      <c r="E8" s="5" t="s">
        <v>484</v>
      </c>
      <c r="F8" s="5" t="s">
        <v>496</v>
      </c>
      <c r="G8" s="5" t="s">
        <v>497</v>
      </c>
      <c r="H8" s="5" t="s">
        <v>388</v>
      </c>
      <c r="I8" s="5" t="s">
        <v>498</v>
      </c>
      <c r="J8" s="5" t="s">
        <v>206</v>
      </c>
    </row>
    <row r="9" spans="1:10">
      <c r="A9" s="5" t="s">
        <v>499</v>
      </c>
      <c r="B9" s="5" t="s">
        <v>500</v>
      </c>
      <c r="C9" s="5" t="s">
        <v>67</v>
      </c>
      <c r="D9" s="5" t="s">
        <v>66</v>
      </c>
      <c r="E9" s="5" t="s">
        <v>459</v>
      </c>
      <c r="F9" s="5" t="s">
        <v>467</v>
      </c>
      <c r="G9" s="5" t="s">
        <v>501</v>
      </c>
      <c r="H9" s="5" t="s">
        <v>462</v>
      </c>
      <c r="I9" s="5" t="s">
        <v>469</v>
      </c>
      <c r="J9" s="5" t="s">
        <v>206</v>
      </c>
    </row>
  </sheetData>
  <autoFilter ref="A1:J9" xr:uid="{00000000-0009-0000-0000-000008000000}"/>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8"/>
  <sheetViews>
    <sheetView zoomScaleNormal="100" workbookViewId="0">
      <pane ySplit="1" topLeftCell="A2" activePane="bottomLeft" state="frozen"/>
      <selection pane="bottomLeft"/>
    </sheetView>
  </sheetViews>
  <sheetFormatPr defaultColWidth="8.7109375" defaultRowHeight="15"/>
  <cols>
    <col min="1" max="2" width="12" customWidth="1"/>
    <col min="3" max="4" width="16" customWidth="1"/>
    <col min="5" max="5" width="44" customWidth="1"/>
    <col min="6" max="6" width="16" customWidth="1"/>
    <col min="7" max="7" width="26" customWidth="1"/>
    <col min="8" max="8" width="34" customWidth="1"/>
    <col min="9" max="9" width="44" customWidth="1"/>
  </cols>
  <sheetData>
    <row r="1" spans="1:9" ht="35.1">
      <c r="A1" s="4" t="s">
        <v>502</v>
      </c>
      <c r="B1" s="4" t="s">
        <v>41</v>
      </c>
      <c r="C1" s="4" t="s">
        <v>38</v>
      </c>
      <c r="D1" s="4" t="s">
        <v>503</v>
      </c>
      <c r="E1" s="4" t="s">
        <v>504</v>
      </c>
      <c r="F1" s="4" t="s">
        <v>505</v>
      </c>
      <c r="G1" s="4" t="s">
        <v>506</v>
      </c>
      <c r="H1" s="4" t="s">
        <v>507</v>
      </c>
      <c r="I1" s="4" t="s">
        <v>508</v>
      </c>
    </row>
    <row r="2" spans="1:9" ht="23.85">
      <c r="A2" s="5" t="s">
        <v>509</v>
      </c>
      <c r="B2" s="5" t="s">
        <v>55</v>
      </c>
      <c r="C2" s="5" t="s">
        <v>52</v>
      </c>
      <c r="D2" s="5" t="s">
        <v>510</v>
      </c>
      <c r="E2" s="5" t="s">
        <v>511</v>
      </c>
      <c r="F2" s="5" t="s">
        <v>149</v>
      </c>
      <c r="G2" s="5" t="s">
        <v>512</v>
      </c>
      <c r="H2" s="5" t="s">
        <v>513</v>
      </c>
      <c r="I2" s="5" t="s">
        <v>514</v>
      </c>
    </row>
    <row r="3" spans="1:9" ht="23.85">
      <c r="A3" s="5" t="s">
        <v>515</v>
      </c>
      <c r="B3" s="5" t="s">
        <v>68</v>
      </c>
      <c r="C3" s="5" t="s">
        <v>66</v>
      </c>
      <c r="D3" s="5" t="s">
        <v>65</v>
      </c>
      <c r="E3" s="5" t="s">
        <v>516</v>
      </c>
      <c r="F3" s="5" t="s">
        <v>149</v>
      </c>
      <c r="G3" s="5" t="s">
        <v>517</v>
      </c>
      <c r="H3" s="5" t="s">
        <v>518</v>
      </c>
      <c r="I3" s="5" t="s">
        <v>519</v>
      </c>
    </row>
    <row r="4" spans="1:9" ht="23.85">
      <c r="A4" s="5" t="s">
        <v>520</v>
      </c>
      <c r="B4" s="5" t="s">
        <v>80</v>
      </c>
      <c r="C4" s="5" t="s">
        <v>78</v>
      </c>
      <c r="D4" s="5" t="s">
        <v>521</v>
      </c>
      <c r="E4" s="5" t="s">
        <v>522</v>
      </c>
      <c r="F4" s="5" t="s">
        <v>149</v>
      </c>
      <c r="G4" s="5" t="s">
        <v>523</v>
      </c>
      <c r="H4" s="5" t="s">
        <v>524</v>
      </c>
      <c r="I4" s="5" t="s">
        <v>525</v>
      </c>
    </row>
    <row r="5" spans="1:9" ht="23.85">
      <c r="A5" s="5" t="s">
        <v>526</v>
      </c>
      <c r="B5" s="5" t="s">
        <v>91</v>
      </c>
      <c r="C5" s="5" t="s">
        <v>89</v>
      </c>
      <c r="D5" s="5" t="s">
        <v>168</v>
      </c>
      <c r="E5" s="5" t="s">
        <v>527</v>
      </c>
      <c r="F5" s="5" t="s">
        <v>168</v>
      </c>
      <c r="G5" s="5" t="s">
        <v>528</v>
      </c>
      <c r="H5" s="5" t="s">
        <v>529</v>
      </c>
      <c r="I5" s="5" t="s">
        <v>530</v>
      </c>
    </row>
    <row r="6" spans="1:9" ht="23.85">
      <c r="A6" s="5" t="s">
        <v>531</v>
      </c>
      <c r="B6" s="5" t="s">
        <v>101</v>
      </c>
      <c r="C6" s="5" t="s">
        <v>99</v>
      </c>
      <c r="D6" s="5" t="s">
        <v>98</v>
      </c>
      <c r="E6" s="5" t="s">
        <v>532</v>
      </c>
      <c r="F6" s="5" t="s">
        <v>149</v>
      </c>
      <c r="G6" s="5" t="s">
        <v>533</v>
      </c>
      <c r="H6" s="5" t="s">
        <v>534</v>
      </c>
      <c r="I6" s="5" t="s">
        <v>535</v>
      </c>
    </row>
    <row r="7" spans="1:9" ht="23.85">
      <c r="A7" s="5" t="s">
        <v>536</v>
      </c>
      <c r="B7" s="5" t="s">
        <v>173</v>
      </c>
      <c r="C7" s="5" t="s">
        <v>175</v>
      </c>
      <c r="D7" s="5" t="s">
        <v>537</v>
      </c>
      <c r="E7" s="5" t="s">
        <v>538</v>
      </c>
      <c r="F7" s="5" t="s">
        <v>180</v>
      </c>
      <c r="G7" s="5" t="s">
        <v>539</v>
      </c>
      <c r="H7" s="5" t="s">
        <v>119</v>
      </c>
      <c r="I7" s="5" t="s">
        <v>540</v>
      </c>
    </row>
    <row r="8" spans="1:9" ht="35.1">
      <c r="A8" s="5" t="s">
        <v>541</v>
      </c>
      <c r="B8" s="5" t="s">
        <v>110</v>
      </c>
      <c r="C8" s="5" t="s">
        <v>109</v>
      </c>
      <c r="D8" s="5" t="s">
        <v>108</v>
      </c>
      <c r="E8" s="5" t="s">
        <v>542</v>
      </c>
      <c r="F8" s="5" t="s">
        <v>149</v>
      </c>
      <c r="G8" s="5" t="s">
        <v>543</v>
      </c>
      <c r="H8" s="5" t="s">
        <v>544</v>
      </c>
      <c r="I8" s="5" t="s">
        <v>545</v>
      </c>
    </row>
  </sheetData>
  <autoFilter ref="A1:I8" xr:uid="{00000000-0009-0000-0000-000009000000}"/>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1"/>
  <sheetViews>
    <sheetView zoomScaleNormal="100" workbookViewId="0">
      <pane ySplit="1" topLeftCell="A2" activePane="bottomLeft" state="frozen"/>
      <selection pane="bottomLeft"/>
    </sheetView>
  </sheetViews>
  <sheetFormatPr defaultColWidth="8.7109375" defaultRowHeight="15"/>
  <cols>
    <col min="1" max="1" width="10" customWidth="1"/>
    <col min="2" max="2" width="12" customWidth="1"/>
    <col min="3" max="3" width="34" customWidth="1"/>
    <col min="4" max="4" width="18" customWidth="1"/>
    <col min="5" max="5" width="40" customWidth="1"/>
    <col min="6" max="6" width="26" customWidth="1"/>
    <col min="7" max="7" width="46" customWidth="1"/>
  </cols>
  <sheetData>
    <row r="1" spans="1:7" ht="23.85">
      <c r="A1" s="4" t="s">
        <v>546</v>
      </c>
      <c r="B1" s="4" t="s">
        <v>547</v>
      </c>
      <c r="C1" s="4" t="s">
        <v>548</v>
      </c>
      <c r="D1" s="4" t="s">
        <v>549</v>
      </c>
      <c r="E1" s="4" t="s">
        <v>550</v>
      </c>
      <c r="F1" s="4" t="s">
        <v>551</v>
      </c>
      <c r="G1" s="4" t="s">
        <v>552</v>
      </c>
    </row>
    <row r="2" spans="1:7">
      <c r="A2" s="5" t="s">
        <v>553</v>
      </c>
      <c r="B2" s="5" t="s">
        <v>554</v>
      </c>
      <c r="C2" s="5" t="s">
        <v>555</v>
      </c>
      <c r="D2" s="5" t="s">
        <v>556</v>
      </c>
      <c r="E2" s="10">
        <f>AVERAGE('Weekly Health Report Log'!D2:D9)</f>
        <v>0.94499999999999995</v>
      </c>
      <c r="F2" s="5" t="str">
        <f>IF(E2&gt;=0.9,"On Target","Below Target")</f>
        <v>On Target</v>
      </c>
      <c r="G2" s="5" t="s">
        <v>557</v>
      </c>
    </row>
    <row r="3" spans="1:7" ht="23.85">
      <c r="A3" s="5" t="s">
        <v>558</v>
      </c>
      <c r="B3" s="5" t="s">
        <v>554</v>
      </c>
      <c r="C3" s="5" t="s">
        <v>559</v>
      </c>
      <c r="D3" s="5" t="s">
        <v>556</v>
      </c>
      <c r="E3" s="10">
        <f>AVERAGE('Weekly Health Report Log'!E2:E9)</f>
        <v>0.95625000000000004</v>
      </c>
      <c r="F3" s="5" t="str">
        <f>IF(E3&gt;=0.9,"On Target","Below Target")</f>
        <v>On Target</v>
      </c>
      <c r="G3" s="5" t="s">
        <v>560</v>
      </c>
    </row>
    <row r="4" spans="1:7">
      <c r="A4" s="5" t="s">
        <v>561</v>
      </c>
      <c r="B4" s="5" t="s">
        <v>554</v>
      </c>
      <c r="C4" s="5" t="s">
        <v>562</v>
      </c>
      <c r="D4" s="5" t="s">
        <v>563</v>
      </c>
      <c r="E4" s="10">
        <f>COUNTIF('Alert &amp; Anomaly Register'!M2:M9,"True Positive")/(COUNTIF('Alert &amp; Anomaly Register'!M2:M9,"True Positive")+COUNTIF('Alert &amp; Anomaly Register'!M2:M9,"False Positive"))</f>
        <v>0.83333333333333337</v>
      </c>
      <c r="F4" s="5" t="str">
        <f>IF(AND(E4&gt;=0.7,E4&lt;=0.8),"On Target",IF(E4&gt;0.8,"Above Target (favorable)","Below Target"))</f>
        <v>Above Target (favorable)</v>
      </c>
      <c r="G4" s="5" t="s">
        <v>564</v>
      </c>
    </row>
    <row r="5" spans="1:7">
      <c r="A5" s="5" t="s">
        <v>565</v>
      </c>
      <c r="B5" s="5" t="s">
        <v>554</v>
      </c>
      <c r="C5" s="5" t="s">
        <v>566</v>
      </c>
      <c r="D5" s="5" t="s">
        <v>567</v>
      </c>
      <c r="E5" s="10">
        <f>COUNTIF('Alert &amp; Anomaly Register'!M2:M9,"False Positive")/(COUNTIF('Alert &amp; Anomaly Register'!M2:M9,"True Positive")+COUNTIF('Alert &amp; Anomaly Register'!M2:M9,"False Positive"))</f>
        <v>0.16666666666666666</v>
      </c>
      <c r="F5" s="5" t="str">
        <f>IF(AND(E5&gt;=0.1,E5&lt;=0.2),"On Target",IF(E5&lt;0.1,"Below Target (favorable)","Above Target"))</f>
        <v>On Target</v>
      </c>
      <c r="G5" s="5" t="s">
        <v>564</v>
      </c>
    </row>
    <row r="6" spans="1:7">
      <c r="A6" s="5" t="s">
        <v>568</v>
      </c>
      <c r="B6" s="5" t="s">
        <v>554</v>
      </c>
      <c r="C6" s="5" t="s">
        <v>569</v>
      </c>
      <c r="D6" s="5" t="s">
        <v>556</v>
      </c>
      <c r="E6" s="10">
        <f>AVERAGE('Weekly Health Report Log'!F2:F9)</f>
        <v>0.97375</v>
      </c>
      <c r="F6" s="5" t="str">
        <f>IF(E6&gt;=0.9,"On Target","Below Target")</f>
        <v>On Target</v>
      </c>
      <c r="G6" s="5" t="s">
        <v>570</v>
      </c>
    </row>
    <row r="7" spans="1:7" ht="23.85">
      <c r="A7" s="5" t="s">
        <v>571</v>
      </c>
      <c r="B7" s="5" t="s">
        <v>572</v>
      </c>
      <c r="C7" s="5" t="s">
        <v>573</v>
      </c>
      <c r="D7" s="5" t="s">
        <v>574</v>
      </c>
      <c r="E7" s="5">
        <f>COUNTIF('Maintenance Correlation Log'!F2:F8,"Yes")</f>
        <v>5</v>
      </c>
      <c r="F7" s="5" t="str">
        <f>IF(E7&gt;=1,"Demonstrated","Not Yet Demonstrated")</f>
        <v>Demonstrated</v>
      </c>
      <c r="G7" s="5" t="s">
        <v>575</v>
      </c>
    </row>
    <row r="8" spans="1:7">
      <c r="A8" s="5" t="s">
        <v>576</v>
      </c>
      <c r="B8" s="5" t="s">
        <v>572</v>
      </c>
      <c r="C8" s="5" t="s">
        <v>577</v>
      </c>
      <c r="D8" s="5" t="s">
        <v>574</v>
      </c>
      <c r="E8" s="5">
        <f>COUNTIFS('Alert &amp; Anomaly Register'!G2:G9,"Critical",'Alert &amp; Anomaly Register'!M2:M9,"True Positive")+COUNTIFS('Alert &amp; Anomaly Register'!G2:G9,"High",'Alert &amp; Anomaly Register'!M2:M9,"True Positive")</f>
        <v>3</v>
      </c>
      <c r="F8" s="5" t="str">
        <f>IF(E8&gt;=1,"Demonstrated","Not Yet Demonstrated")</f>
        <v>Demonstrated</v>
      </c>
      <c r="G8" s="5" t="s">
        <v>578</v>
      </c>
    </row>
    <row r="9" spans="1:7" ht="23.85">
      <c r="A9" s="5" t="s">
        <v>579</v>
      </c>
      <c r="B9" s="5" t="s">
        <v>572</v>
      </c>
      <c r="C9" s="5" t="s">
        <v>580</v>
      </c>
      <c r="D9" s="5" t="s">
        <v>574</v>
      </c>
      <c r="E9" s="5">
        <f>COUNTA('Maintenance Correlation Log'!A2:A8)</f>
        <v>7</v>
      </c>
      <c r="F9" s="5" t="str">
        <f>IF(E9&gt;=1,"Demonstrated","Not Yet Demonstrated")</f>
        <v>Demonstrated</v>
      </c>
      <c r="G9" s="5" t="s">
        <v>581</v>
      </c>
    </row>
    <row r="10" spans="1:7" ht="23.85">
      <c r="A10" s="5" t="s">
        <v>582</v>
      </c>
      <c r="B10" s="5" t="s">
        <v>572</v>
      </c>
      <c r="C10" s="5" t="s">
        <v>583</v>
      </c>
      <c r="D10" s="5" t="s">
        <v>574</v>
      </c>
      <c r="E10" s="5">
        <f>COUNTIFS('Work Orders'!E2:E9,"Condition-Based Alert",'Work Orders'!K2:K9,"Completed")</f>
        <v>5</v>
      </c>
      <c r="F10" s="5" t="str">
        <f>IF(E10&gt;=1,"Demonstrated","Not Yet Demonstrated")</f>
        <v>Demonstrated</v>
      </c>
      <c r="G10" s="5" t="s">
        <v>584</v>
      </c>
    </row>
    <row r="11" spans="1:7" ht="23.85">
      <c r="A11" s="5" t="s">
        <v>585</v>
      </c>
      <c r="B11" s="5" t="s">
        <v>572</v>
      </c>
      <c r="C11" s="5" t="s">
        <v>586</v>
      </c>
      <c r="D11" s="5" t="s">
        <v>587</v>
      </c>
      <c r="E11" s="5">
        <f>COUNTA('Benefits Realization Assessment'!A2:A20)</f>
        <v>6</v>
      </c>
      <c r="F11" s="5" t="str">
        <f>IF(E11&gt;=1,"Developed","Not Yet Developed")</f>
        <v>Developed</v>
      </c>
      <c r="G11" s="5" t="s">
        <v>588</v>
      </c>
    </row>
  </sheetData>
  <autoFilter ref="A1:G11" xr:uid="{00000000-0009-0000-0000-00000A000000}"/>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7"/>
  <sheetViews>
    <sheetView zoomScaleNormal="100" workbookViewId="0">
      <pane ySplit="1" topLeftCell="A2" activePane="bottomLeft" state="frozen"/>
      <selection pane="bottomLeft"/>
    </sheetView>
  </sheetViews>
  <sheetFormatPr defaultColWidth="8.7109375" defaultRowHeight="15"/>
  <cols>
    <col min="1" max="1" width="10" customWidth="1"/>
    <col min="2" max="2" width="20" customWidth="1"/>
    <col min="3" max="3" width="52" customWidth="1"/>
    <col min="4" max="4" width="20" customWidth="1"/>
    <col min="5" max="5" width="44" customWidth="1"/>
    <col min="6" max="6" width="34" customWidth="1"/>
  </cols>
  <sheetData>
    <row r="1" spans="1:6">
      <c r="A1" s="4" t="s">
        <v>589</v>
      </c>
      <c r="B1" s="4" t="s">
        <v>590</v>
      </c>
      <c r="C1" s="4" t="s">
        <v>43</v>
      </c>
      <c r="D1" s="4" t="s">
        <v>591</v>
      </c>
      <c r="E1" s="4" t="s">
        <v>592</v>
      </c>
      <c r="F1" s="4" t="s">
        <v>593</v>
      </c>
    </row>
    <row r="2" spans="1:6" ht="35.1">
      <c r="A2" s="5" t="s">
        <v>594</v>
      </c>
      <c r="B2" s="5" t="s">
        <v>595</v>
      </c>
      <c r="C2" s="5" t="s">
        <v>596</v>
      </c>
      <c r="D2" s="5" t="s">
        <v>597</v>
      </c>
      <c r="E2" s="5" t="s">
        <v>598</v>
      </c>
      <c r="F2" s="5" t="s">
        <v>599</v>
      </c>
    </row>
    <row r="3" spans="1:6" ht="23.85">
      <c r="A3" s="5" t="s">
        <v>600</v>
      </c>
      <c r="B3" s="5" t="s">
        <v>595</v>
      </c>
      <c r="C3" s="5" t="s">
        <v>601</v>
      </c>
      <c r="D3" s="5" t="s">
        <v>602</v>
      </c>
      <c r="E3" s="5" t="s">
        <v>603</v>
      </c>
      <c r="F3" s="5" t="s">
        <v>599</v>
      </c>
    </row>
    <row r="4" spans="1:6" ht="23.85">
      <c r="A4" s="5" t="s">
        <v>604</v>
      </c>
      <c r="B4" s="5" t="s">
        <v>605</v>
      </c>
      <c r="C4" s="5" t="s">
        <v>606</v>
      </c>
      <c r="D4" s="5" t="s">
        <v>607</v>
      </c>
      <c r="E4" s="5" t="s">
        <v>608</v>
      </c>
      <c r="F4" s="5" t="s">
        <v>609</v>
      </c>
    </row>
    <row r="5" spans="1:6" ht="23.85">
      <c r="A5" s="5" t="s">
        <v>610</v>
      </c>
      <c r="B5" s="5" t="s">
        <v>605</v>
      </c>
      <c r="C5" s="5" t="s">
        <v>611</v>
      </c>
      <c r="D5" s="5" t="s">
        <v>612</v>
      </c>
      <c r="E5" s="5" t="s">
        <v>613</v>
      </c>
      <c r="F5" s="5" t="s">
        <v>614</v>
      </c>
    </row>
    <row r="6" spans="1:6" ht="23.85">
      <c r="A6" s="5" t="s">
        <v>615</v>
      </c>
      <c r="B6" s="5" t="s">
        <v>616</v>
      </c>
      <c r="C6" s="5" t="s">
        <v>617</v>
      </c>
      <c r="D6" s="5" t="s">
        <v>536</v>
      </c>
      <c r="E6" s="5" t="s">
        <v>618</v>
      </c>
      <c r="F6" s="5" t="s">
        <v>619</v>
      </c>
    </row>
    <row r="7" spans="1:6" ht="35.1">
      <c r="A7" s="5" t="s">
        <v>620</v>
      </c>
      <c r="B7" s="5" t="s">
        <v>621</v>
      </c>
      <c r="C7" s="5" t="s">
        <v>622</v>
      </c>
      <c r="D7" s="5" t="s">
        <v>623</v>
      </c>
      <c r="E7" s="5" t="s">
        <v>624</v>
      </c>
      <c r="F7" s="5" t="s">
        <v>625</v>
      </c>
    </row>
  </sheetData>
  <autoFilter ref="A1:F7" xr:uid="{00000000-0009-0000-0000-00000B000000}"/>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1"/>
  <sheetViews>
    <sheetView zoomScaleNormal="100" workbookViewId="0">
      <pane ySplit="1" topLeftCell="A2" activePane="bottomLeft" state="frozen"/>
      <selection pane="bottomLeft"/>
    </sheetView>
  </sheetViews>
  <sheetFormatPr defaultColWidth="8.7109375" defaultRowHeight="15"/>
  <cols>
    <col min="1" max="1" width="10" customWidth="1"/>
    <col min="2" max="2" width="26" customWidth="1"/>
    <col min="3" max="3" width="16" customWidth="1"/>
    <col min="4" max="5" width="14" customWidth="1"/>
    <col min="6" max="6" width="30" customWidth="1"/>
    <col min="7" max="7" width="28" customWidth="1"/>
  </cols>
  <sheetData>
    <row r="1" spans="1:7" ht="23.85">
      <c r="A1" s="4" t="s">
        <v>626</v>
      </c>
      <c r="B1" s="4" t="s">
        <v>627</v>
      </c>
      <c r="C1" s="4" t="s">
        <v>38</v>
      </c>
      <c r="D1" s="4" t="s">
        <v>628</v>
      </c>
      <c r="E1" s="4" t="s">
        <v>629</v>
      </c>
      <c r="F1" s="4" t="s">
        <v>630</v>
      </c>
      <c r="G1" s="4" t="s">
        <v>631</v>
      </c>
    </row>
    <row r="2" spans="1:7">
      <c r="A2" s="5" t="s">
        <v>632</v>
      </c>
      <c r="B2" s="5" t="s">
        <v>633</v>
      </c>
      <c r="C2" s="5" t="s">
        <v>109</v>
      </c>
      <c r="D2" s="5" t="s">
        <v>381</v>
      </c>
      <c r="E2" s="5" t="s">
        <v>381</v>
      </c>
      <c r="F2" s="5" t="s">
        <v>634</v>
      </c>
      <c r="G2" s="5" t="s">
        <v>59</v>
      </c>
    </row>
    <row r="3" spans="1:7">
      <c r="A3" s="5" t="s">
        <v>635</v>
      </c>
      <c r="B3" s="5" t="s">
        <v>636</v>
      </c>
      <c r="C3" s="5" t="s">
        <v>359</v>
      </c>
      <c r="D3" s="5" t="s">
        <v>637</v>
      </c>
      <c r="E3" s="5" t="s">
        <v>61</v>
      </c>
      <c r="F3" s="5" t="s">
        <v>638</v>
      </c>
      <c r="G3" s="5" t="s">
        <v>639</v>
      </c>
    </row>
    <row r="4" spans="1:7">
      <c r="A4" s="5" t="s">
        <v>640</v>
      </c>
      <c r="B4" s="5" t="s">
        <v>641</v>
      </c>
      <c r="C4" s="5" t="s">
        <v>66</v>
      </c>
      <c r="D4" s="5" t="s">
        <v>642</v>
      </c>
      <c r="E4" s="5" t="s">
        <v>642</v>
      </c>
      <c r="F4" s="5" t="s">
        <v>634</v>
      </c>
      <c r="G4" s="5" t="s">
        <v>59</v>
      </c>
    </row>
    <row r="5" spans="1:7">
      <c r="A5" s="5" t="s">
        <v>643</v>
      </c>
      <c r="B5" s="5" t="s">
        <v>644</v>
      </c>
      <c r="C5" s="5" t="s">
        <v>117</v>
      </c>
      <c r="D5" s="5" t="s">
        <v>116</v>
      </c>
      <c r="E5" s="5" t="s">
        <v>116</v>
      </c>
      <c r="F5" s="5" t="s">
        <v>634</v>
      </c>
      <c r="G5" s="5" t="s">
        <v>123</v>
      </c>
    </row>
    <row r="6" spans="1:7">
      <c r="A6" s="5" t="s">
        <v>645</v>
      </c>
      <c r="B6" s="5" t="s">
        <v>646</v>
      </c>
      <c r="C6" s="5" t="s">
        <v>78</v>
      </c>
      <c r="D6" s="5" t="s">
        <v>647</v>
      </c>
      <c r="E6" s="5"/>
      <c r="F6" s="5" t="s">
        <v>120</v>
      </c>
      <c r="G6" s="5" t="s">
        <v>648</v>
      </c>
    </row>
    <row r="7" spans="1:7" ht="23.85">
      <c r="A7" s="5" t="s">
        <v>649</v>
      </c>
      <c r="B7" s="5" t="s">
        <v>650</v>
      </c>
      <c r="C7" s="5" t="s">
        <v>89</v>
      </c>
      <c r="D7" s="5" t="s">
        <v>651</v>
      </c>
      <c r="E7" s="5"/>
      <c r="F7" s="5" t="s">
        <v>652</v>
      </c>
      <c r="G7" s="5" t="s">
        <v>59</v>
      </c>
    </row>
    <row r="8" spans="1:7">
      <c r="A8" s="5" t="s">
        <v>653</v>
      </c>
      <c r="B8" s="5" t="s">
        <v>654</v>
      </c>
      <c r="C8" s="5" t="s">
        <v>99</v>
      </c>
      <c r="D8" s="5" t="s">
        <v>98</v>
      </c>
      <c r="E8" s="5" t="s">
        <v>98</v>
      </c>
      <c r="F8" s="5" t="s">
        <v>634</v>
      </c>
      <c r="G8" s="5" t="s">
        <v>59</v>
      </c>
    </row>
    <row r="9" spans="1:7">
      <c r="A9" s="5" t="s">
        <v>655</v>
      </c>
      <c r="B9" s="5" t="s">
        <v>656</v>
      </c>
      <c r="C9" s="5" t="s">
        <v>370</v>
      </c>
      <c r="D9" s="5" t="s">
        <v>412</v>
      </c>
      <c r="E9" s="5"/>
      <c r="F9" s="5" t="s">
        <v>120</v>
      </c>
      <c r="G9" s="5" t="s">
        <v>657</v>
      </c>
    </row>
    <row r="10" spans="1:7">
      <c r="A10" s="5" t="s">
        <v>658</v>
      </c>
      <c r="B10" s="5" t="s">
        <v>659</v>
      </c>
      <c r="C10" s="5" t="s">
        <v>295</v>
      </c>
      <c r="D10" s="5" t="s">
        <v>660</v>
      </c>
      <c r="E10" s="5" t="s">
        <v>661</v>
      </c>
      <c r="F10" s="5" t="s">
        <v>638</v>
      </c>
      <c r="G10" s="5" t="s">
        <v>59</v>
      </c>
    </row>
    <row r="11" spans="1:7">
      <c r="A11" s="5" t="s">
        <v>662</v>
      </c>
      <c r="B11" s="5" t="s">
        <v>663</v>
      </c>
      <c r="C11" s="5" t="s">
        <v>189</v>
      </c>
      <c r="D11" s="5" t="s">
        <v>664</v>
      </c>
      <c r="E11" s="5"/>
      <c r="F11" s="5" t="s">
        <v>120</v>
      </c>
      <c r="G11" s="5" t="s">
        <v>59</v>
      </c>
    </row>
  </sheetData>
  <autoFilter ref="A1:G11" xr:uid="{00000000-0009-0000-0000-00000C000000}"/>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9"/>
  <sheetViews>
    <sheetView zoomScaleNormal="100" workbookViewId="0">
      <pane ySplit="1" topLeftCell="A2" activePane="bottomLeft" state="frozen"/>
      <selection pane="bottomLeft"/>
    </sheetView>
  </sheetViews>
  <sheetFormatPr defaultColWidth="8.7109375" defaultRowHeight="15"/>
  <cols>
    <col min="1" max="1" width="10" customWidth="1"/>
    <col min="2" max="2" width="12" customWidth="1"/>
    <col min="3" max="3" width="26" customWidth="1"/>
    <col min="4" max="4" width="16" customWidth="1"/>
    <col min="5" max="5" width="20" customWidth="1"/>
    <col min="6" max="6" width="18" customWidth="1"/>
    <col min="7" max="8" width="10" customWidth="1"/>
    <col min="9" max="9" width="14" customWidth="1"/>
    <col min="10" max="10" width="46" customWidth="1"/>
    <col min="11" max="11" width="18" customWidth="1"/>
  </cols>
  <sheetData>
    <row r="1" spans="1:11" ht="35.1">
      <c r="A1" s="4" t="s">
        <v>665</v>
      </c>
      <c r="B1" s="4" t="s">
        <v>666</v>
      </c>
      <c r="C1" s="4" t="s">
        <v>667</v>
      </c>
      <c r="D1" s="4" t="s">
        <v>668</v>
      </c>
      <c r="E1" s="4" t="s">
        <v>669</v>
      </c>
      <c r="F1" s="4" t="s">
        <v>670</v>
      </c>
      <c r="G1" s="4" t="s">
        <v>671</v>
      </c>
      <c r="H1" s="4" t="s">
        <v>672</v>
      </c>
      <c r="I1" s="4" t="s">
        <v>673</v>
      </c>
      <c r="J1" s="4" t="s">
        <v>674</v>
      </c>
      <c r="K1" s="4" t="s">
        <v>675</v>
      </c>
    </row>
    <row r="2" spans="1:11" ht="23.85">
      <c r="A2" s="5" t="s">
        <v>676</v>
      </c>
      <c r="B2" s="5" t="s">
        <v>677</v>
      </c>
      <c r="C2" s="5" t="s">
        <v>678</v>
      </c>
      <c r="D2" s="11">
        <v>0.88</v>
      </c>
      <c r="E2" s="11">
        <v>0.91</v>
      </c>
      <c r="F2" s="11">
        <v>0.95</v>
      </c>
      <c r="G2" s="5">
        <v>0</v>
      </c>
      <c r="H2" s="5">
        <v>0</v>
      </c>
      <c r="I2" s="5">
        <v>0</v>
      </c>
      <c r="J2" s="5" t="s">
        <v>679</v>
      </c>
      <c r="K2" s="5" t="s">
        <v>680</v>
      </c>
    </row>
    <row r="3" spans="1:11">
      <c r="A3" s="5" t="s">
        <v>681</v>
      </c>
      <c r="B3" s="5" t="s">
        <v>682</v>
      </c>
      <c r="C3" s="5" t="s">
        <v>678</v>
      </c>
      <c r="D3" s="11">
        <v>0.93</v>
      </c>
      <c r="E3" s="11">
        <v>0.95</v>
      </c>
      <c r="F3" s="11">
        <v>0.97</v>
      </c>
      <c r="G3" s="5">
        <v>0</v>
      </c>
      <c r="H3" s="5">
        <v>0</v>
      </c>
      <c r="I3" s="5">
        <v>0</v>
      </c>
      <c r="J3" s="5" t="s">
        <v>683</v>
      </c>
      <c r="K3" s="5" t="s">
        <v>680</v>
      </c>
    </row>
    <row r="4" spans="1:11" ht="23.85">
      <c r="A4" s="5" t="s">
        <v>684</v>
      </c>
      <c r="B4" s="5" t="s">
        <v>685</v>
      </c>
      <c r="C4" s="5" t="s">
        <v>678</v>
      </c>
      <c r="D4" s="11">
        <v>0.95</v>
      </c>
      <c r="E4" s="11">
        <v>0.96</v>
      </c>
      <c r="F4" s="11">
        <v>0.98</v>
      </c>
      <c r="G4" s="5">
        <v>2</v>
      </c>
      <c r="H4" s="5">
        <v>1</v>
      </c>
      <c r="I4" s="5">
        <v>2</v>
      </c>
      <c r="J4" s="5" t="s">
        <v>686</v>
      </c>
      <c r="K4" s="5" t="s">
        <v>680</v>
      </c>
    </row>
    <row r="5" spans="1:11" ht="23.85">
      <c r="A5" s="5" t="s">
        <v>687</v>
      </c>
      <c r="B5" s="5" t="s">
        <v>688</v>
      </c>
      <c r="C5" s="5" t="s">
        <v>678</v>
      </c>
      <c r="D5" s="11">
        <v>0.96</v>
      </c>
      <c r="E5" s="11">
        <v>0.97</v>
      </c>
      <c r="F5" s="11">
        <v>0.99</v>
      </c>
      <c r="G5" s="5">
        <v>1</v>
      </c>
      <c r="H5" s="5">
        <v>2</v>
      </c>
      <c r="I5" s="5">
        <v>1</v>
      </c>
      <c r="J5" s="5" t="s">
        <v>689</v>
      </c>
      <c r="K5" s="5" t="s">
        <v>680</v>
      </c>
    </row>
    <row r="6" spans="1:11" ht="23.85">
      <c r="A6" s="5" t="s">
        <v>690</v>
      </c>
      <c r="B6" s="5" t="s">
        <v>691</v>
      </c>
      <c r="C6" s="5" t="s">
        <v>678</v>
      </c>
      <c r="D6" s="11">
        <v>0.94</v>
      </c>
      <c r="E6" s="11">
        <v>0.95</v>
      </c>
      <c r="F6" s="11">
        <v>0.96</v>
      </c>
      <c r="G6" s="5">
        <v>2</v>
      </c>
      <c r="H6" s="5">
        <v>1</v>
      </c>
      <c r="I6" s="5">
        <v>2</v>
      </c>
      <c r="J6" s="5" t="s">
        <v>692</v>
      </c>
      <c r="K6" s="5" t="s">
        <v>680</v>
      </c>
    </row>
    <row r="7" spans="1:11" ht="23.85">
      <c r="A7" s="5" t="s">
        <v>693</v>
      </c>
      <c r="B7" s="5" t="s">
        <v>537</v>
      </c>
      <c r="C7" s="5" t="s">
        <v>678</v>
      </c>
      <c r="D7" s="11">
        <v>0.97</v>
      </c>
      <c r="E7" s="11">
        <v>0.97</v>
      </c>
      <c r="F7" s="11">
        <v>0.98</v>
      </c>
      <c r="G7" s="5">
        <v>1</v>
      </c>
      <c r="H7" s="5">
        <v>1</v>
      </c>
      <c r="I7" s="5">
        <v>1</v>
      </c>
      <c r="J7" s="5" t="s">
        <v>694</v>
      </c>
      <c r="K7" s="5" t="s">
        <v>680</v>
      </c>
    </row>
    <row r="8" spans="1:11" ht="23.85">
      <c r="A8" s="5" t="s">
        <v>695</v>
      </c>
      <c r="B8" s="5" t="s">
        <v>696</v>
      </c>
      <c r="C8" s="5" t="s">
        <v>697</v>
      </c>
      <c r="D8" s="11">
        <v>0.96</v>
      </c>
      <c r="E8" s="11">
        <v>0.96</v>
      </c>
      <c r="F8" s="11">
        <v>0.97</v>
      </c>
      <c r="G8" s="5">
        <v>1</v>
      </c>
      <c r="H8" s="5">
        <v>1</v>
      </c>
      <c r="I8" s="5">
        <v>1</v>
      </c>
      <c r="J8" s="5" t="s">
        <v>698</v>
      </c>
      <c r="K8" s="5" t="s">
        <v>680</v>
      </c>
    </row>
    <row r="9" spans="1:11" ht="23.85">
      <c r="A9" s="5" t="s">
        <v>699</v>
      </c>
      <c r="B9" s="5" t="s">
        <v>700</v>
      </c>
      <c r="C9" s="5" t="s">
        <v>701</v>
      </c>
      <c r="D9" s="11">
        <v>0.97</v>
      </c>
      <c r="E9" s="11">
        <v>0.98</v>
      </c>
      <c r="F9" s="11">
        <v>0.99</v>
      </c>
      <c r="G9" s="5">
        <v>1</v>
      </c>
      <c r="H9" s="5">
        <v>0</v>
      </c>
      <c r="I9" s="5">
        <v>0</v>
      </c>
      <c r="J9" s="5" t="s">
        <v>702</v>
      </c>
      <c r="K9" s="5" t="s">
        <v>680</v>
      </c>
    </row>
  </sheetData>
  <autoFilter ref="A1:K9" xr:uid="{00000000-0009-0000-0000-00000D000000}"/>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8"/>
  <sheetViews>
    <sheetView zoomScaleNormal="100" workbookViewId="0">
      <pane ySplit="1" topLeftCell="A2" activePane="bottomLeft" state="frozen"/>
      <selection pane="bottomLeft"/>
    </sheetView>
  </sheetViews>
  <sheetFormatPr defaultColWidth="8.7109375" defaultRowHeight="15"/>
  <cols>
    <col min="1" max="1" width="14" customWidth="1"/>
    <col min="2" max="2" width="12" customWidth="1"/>
    <col min="3" max="3" width="16" customWidth="1"/>
    <col min="4" max="4" width="8" customWidth="1"/>
    <col min="5" max="5" width="44" customWidth="1"/>
    <col min="6" max="7" width="26" customWidth="1"/>
    <col min="8" max="8" width="14" customWidth="1"/>
    <col min="9" max="9" width="20" customWidth="1"/>
  </cols>
  <sheetData>
    <row r="1" spans="1:9" ht="23.85">
      <c r="A1" s="4" t="s">
        <v>703</v>
      </c>
      <c r="B1" s="4" t="s">
        <v>377</v>
      </c>
      <c r="C1" s="4" t="s">
        <v>38</v>
      </c>
      <c r="D1" s="4" t="s">
        <v>39</v>
      </c>
      <c r="E1" s="4" t="s">
        <v>704</v>
      </c>
      <c r="F1" s="4" t="s">
        <v>705</v>
      </c>
      <c r="G1" s="4" t="s">
        <v>706</v>
      </c>
      <c r="H1" s="4" t="s">
        <v>707</v>
      </c>
      <c r="I1" s="4" t="s">
        <v>708</v>
      </c>
    </row>
    <row r="2" spans="1:9" ht="23.85">
      <c r="A2" s="5" t="s">
        <v>709</v>
      </c>
      <c r="B2" s="5" t="s">
        <v>710</v>
      </c>
      <c r="C2" s="5" t="s">
        <v>66</v>
      </c>
      <c r="D2" s="5" t="s">
        <v>67</v>
      </c>
      <c r="E2" s="5" t="s">
        <v>711</v>
      </c>
      <c r="F2" s="5" t="s">
        <v>712</v>
      </c>
      <c r="G2" s="5" t="s">
        <v>713</v>
      </c>
      <c r="H2" s="5" t="s">
        <v>714</v>
      </c>
      <c r="I2" s="5" t="s">
        <v>180</v>
      </c>
    </row>
    <row r="3" spans="1:9">
      <c r="A3" s="5" t="s">
        <v>715</v>
      </c>
      <c r="B3" s="5" t="s">
        <v>716</v>
      </c>
      <c r="C3" s="5" t="s">
        <v>78</v>
      </c>
      <c r="D3" s="5" t="s">
        <v>79</v>
      </c>
      <c r="E3" s="5" t="s">
        <v>717</v>
      </c>
      <c r="F3" s="5" t="s">
        <v>718</v>
      </c>
      <c r="G3" s="5" t="s">
        <v>719</v>
      </c>
      <c r="H3" s="5" t="s">
        <v>720</v>
      </c>
      <c r="I3" s="5" t="s">
        <v>180</v>
      </c>
    </row>
    <row r="4" spans="1:9">
      <c r="A4" s="5" t="s">
        <v>721</v>
      </c>
      <c r="B4" s="5" t="s">
        <v>722</v>
      </c>
      <c r="C4" s="5" t="s">
        <v>359</v>
      </c>
      <c r="D4" s="5" t="s">
        <v>53</v>
      </c>
      <c r="E4" s="5" t="s">
        <v>723</v>
      </c>
      <c r="F4" s="5" t="s">
        <v>724</v>
      </c>
      <c r="G4" s="5" t="s">
        <v>725</v>
      </c>
      <c r="H4" s="5" t="s">
        <v>726</v>
      </c>
      <c r="I4" s="5" t="s">
        <v>180</v>
      </c>
    </row>
    <row r="5" spans="1:9" ht="23.85">
      <c r="A5" s="5" t="s">
        <v>727</v>
      </c>
      <c r="B5" s="5" t="s">
        <v>728</v>
      </c>
      <c r="C5" s="5" t="s">
        <v>440</v>
      </c>
      <c r="D5" s="5" t="s">
        <v>90</v>
      </c>
      <c r="E5" s="5" t="s">
        <v>729</v>
      </c>
      <c r="F5" s="5" t="s">
        <v>730</v>
      </c>
      <c r="G5" s="5" t="s">
        <v>731</v>
      </c>
      <c r="H5" s="5" t="s">
        <v>732</v>
      </c>
      <c r="I5" s="5" t="s">
        <v>180</v>
      </c>
    </row>
    <row r="6" spans="1:9" ht="23.85">
      <c r="A6" s="5" t="s">
        <v>733</v>
      </c>
      <c r="B6" s="5" t="s">
        <v>734</v>
      </c>
      <c r="C6" s="5" t="s">
        <v>735</v>
      </c>
      <c r="D6" s="5" t="s">
        <v>100</v>
      </c>
      <c r="E6" s="5" t="s">
        <v>736</v>
      </c>
      <c r="F6" s="5" t="s">
        <v>737</v>
      </c>
      <c r="G6" s="5" t="s">
        <v>713</v>
      </c>
      <c r="H6" s="5" t="s">
        <v>738</v>
      </c>
      <c r="I6" s="5" t="s">
        <v>180</v>
      </c>
    </row>
    <row r="7" spans="1:9" ht="23.85">
      <c r="A7" s="5" t="s">
        <v>739</v>
      </c>
      <c r="B7" s="5" t="s">
        <v>740</v>
      </c>
      <c r="C7" s="5" t="s">
        <v>175</v>
      </c>
      <c r="D7" s="5" t="s">
        <v>176</v>
      </c>
      <c r="E7" s="5" t="s">
        <v>741</v>
      </c>
      <c r="F7" s="5" t="s">
        <v>742</v>
      </c>
      <c r="G7" s="5" t="s">
        <v>713</v>
      </c>
      <c r="H7" s="5" t="s">
        <v>743</v>
      </c>
      <c r="I7" s="5" t="s">
        <v>180</v>
      </c>
    </row>
    <row r="8" spans="1:9" ht="23.85">
      <c r="A8" s="5" t="s">
        <v>744</v>
      </c>
      <c r="B8" s="5" t="s">
        <v>745</v>
      </c>
      <c r="C8" s="5" t="s">
        <v>189</v>
      </c>
      <c r="D8" s="5" t="s">
        <v>67</v>
      </c>
      <c r="E8" s="5" t="s">
        <v>746</v>
      </c>
      <c r="F8" s="5" t="s">
        <v>747</v>
      </c>
      <c r="G8" s="5" t="s">
        <v>748</v>
      </c>
      <c r="H8" s="5" t="s">
        <v>372</v>
      </c>
      <c r="I8" s="5" t="s">
        <v>180</v>
      </c>
    </row>
  </sheetData>
  <autoFilter ref="A1:I8" xr:uid="{00000000-0009-0000-0000-00000E000000}"/>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11"/>
  <sheetViews>
    <sheetView zoomScaleNormal="100" workbookViewId="0">
      <pane ySplit="1" topLeftCell="A2" activePane="bottomLeft" state="frozen"/>
      <selection pane="bottomLeft"/>
    </sheetView>
  </sheetViews>
  <sheetFormatPr defaultColWidth="8.7109375" defaultRowHeight="15"/>
  <cols>
    <col min="1" max="1" width="10" customWidth="1"/>
    <col min="2" max="2" width="12" customWidth="1"/>
    <col min="3" max="3" width="46" customWidth="1"/>
    <col min="4" max="4" width="12" customWidth="1"/>
    <col min="5" max="5" width="18" customWidth="1"/>
    <col min="6" max="6" width="44" customWidth="1"/>
    <col min="7" max="7" width="26" customWidth="1"/>
    <col min="8" max="8" width="18" customWidth="1"/>
  </cols>
  <sheetData>
    <row r="1" spans="1:8">
      <c r="A1" s="4" t="s">
        <v>749</v>
      </c>
      <c r="B1" s="4" t="s">
        <v>590</v>
      </c>
      <c r="C1" s="4" t="s">
        <v>43</v>
      </c>
      <c r="D1" s="4" t="s">
        <v>750</v>
      </c>
      <c r="E1" s="4" t="s">
        <v>751</v>
      </c>
      <c r="F1" s="4" t="s">
        <v>752</v>
      </c>
      <c r="G1" s="4" t="s">
        <v>753</v>
      </c>
      <c r="H1" s="4" t="s">
        <v>46</v>
      </c>
    </row>
    <row r="2" spans="1:8" ht="23.85">
      <c r="A2" s="5" t="s">
        <v>754</v>
      </c>
      <c r="B2" s="7" t="s">
        <v>755</v>
      </c>
      <c r="C2" s="5" t="s">
        <v>756</v>
      </c>
      <c r="D2" s="5" t="s">
        <v>102</v>
      </c>
      <c r="E2" s="5" t="s">
        <v>102</v>
      </c>
      <c r="F2" s="5" t="s">
        <v>757</v>
      </c>
      <c r="G2" s="5" t="s">
        <v>680</v>
      </c>
      <c r="H2" s="5" t="s">
        <v>194</v>
      </c>
    </row>
    <row r="3" spans="1:8" ht="23.85">
      <c r="A3" s="5" t="s">
        <v>758</v>
      </c>
      <c r="B3" s="7" t="s">
        <v>755</v>
      </c>
      <c r="C3" s="5" t="s">
        <v>759</v>
      </c>
      <c r="D3" s="5" t="s">
        <v>102</v>
      </c>
      <c r="E3" s="5" t="s">
        <v>102</v>
      </c>
      <c r="F3" s="5" t="s">
        <v>760</v>
      </c>
      <c r="G3" s="5" t="s">
        <v>761</v>
      </c>
      <c r="H3" s="5" t="s">
        <v>194</v>
      </c>
    </row>
    <row r="4" spans="1:8" ht="23.85">
      <c r="A4" s="5" t="s">
        <v>762</v>
      </c>
      <c r="B4" s="7" t="s">
        <v>755</v>
      </c>
      <c r="C4" s="5" t="s">
        <v>763</v>
      </c>
      <c r="D4" s="5" t="s">
        <v>102</v>
      </c>
      <c r="E4" s="5" t="s">
        <v>190</v>
      </c>
      <c r="F4" s="5" t="s">
        <v>764</v>
      </c>
      <c r="G4" s="5" t="s">
        <v>680</v>
      </c>
      <c r="H4" s="5" t="s">
        <v>194</v>
      </c>
    </row>
    <row r="5" spans="1:8" ht="23.85">
      <c r="A5" s="5" t="s">
        <v>765</v>
      </c>
      <c r="B5" s="7" t="s">
        <v>755</v>
      </c>
      <c r="C5" s="5" t="s">
        <v>766</v>
      </c>
      <c r="D5" s="5" t="s">
        <v>190</v>
      </c>
      <c r="E5" s="5" t="s">
        <v>102</v>
      </c>
      <c r="F5" s="5" t="s">
        <v>767</v>
      </c>
      <c r="G5" s="5" t="s">
        <v>768</v>
      </c>
      <c r="H5" s="5" t="s">
        <v>194</v>
      </c>
    </row>
    <row r="6" spans="1:8" ht="23.85">
      <c r="A6" s="5" t="s">
        <v>769</v>
      </c>
      <c r="B6" s="7" t="s">
        <v>755</v>
      </c>
      <c r="C6" s="5" t="s">
        <v>770</v>
      </c>
      <c r="D6" s="5" t="s">
        <v>102</v>
      </c>
      <c r="E6" s="5" t="s">
        <v>102</v>
      </c>
      <c r="F6" s="5" t="s">
        <v>771</v>
      </c>
      <c r="G6" s="5" t="s">
        <v>680</v>
      </c>
      <c r="H6" s="5" t="s">
        <v>194</v>
      </c>
    </row>
    <row r="7" spans="1:8" ht="23.85">
      <c r="A7" s="5" t="s">
        <v>772</v>
      </c>
      <c r="B7" s="7" t="s">
        <v>755</v>
      </c>
      <c r="C7" s="5" t="s">
        <v>773</v>
      </c>
      <c r="D7" s="5" t="s">
        <v>102</v>
      </c>
      <c r="E7" s="5" t="s">
        <v>190</v>
      </c>
      <c r="F7" s="5" t="s">
        <v>774</v>
      </c>
      <c r="G7" s="5" t="s">
        <v>680</v>
      </c>
      <c r="H7" s="5" t="s">
        <v>194</v>
      </c>
    </row>
    <row r="8" spans="1:8" ht="23.85">
      <c r="A8" s="5" t="s">
        <v>775</v>
      </c>
      <c r="B8" s="6" t="s">
        <v>776</v>
      </c>
      <c r="C8" s="5" t="s">
        <v>777</v>
      </c>
      <c r="D8" s="5" t="s">
        <v>119</v>
      </c>
      <c r="E8" s="5" t="s">
        <v>778</v>
      </c>
      <c r="F8" s="5" t="s">
        <v>779</v>
      </c>
      <c r="G8" s="5" t="s">
        <v>780</v>
      </c>
      <c r="H8" s="5" t="s">
        <v>194</v>
      </c>
    </row>
    <row r="9" spans="1:8" ht="23.85">
      <c r="A9" s="5" t="s">
        <v>781</v>
      </c>
      <c r="B9" s="6" t="s">
        <v>776</v>
      </c>
      <c r="C9" s="5" t="s">
        <v>782</v>
      </c>
      <c r="D9" s="5" t="s">
        <v>119</v>
      </c>
      <c r="E9" s="5" t="s">
        <v>783</v>
      </c>
      <c r="F9" s="5" t="s">
        <v>784</v>
      </c>
      <c r="G9" s="5" t="s">
        <v>680</v>
      </c>
      <c r="H9" s="5" t="s">
        <v>194</v>
      </c>
    </row>
    <row r="10" spans="1:8" ht="23.85">
      <c r="A10" s="5" t="s">
        <v>785</v>
      </c>
      <c r="B10" s="12" t="s">
        <v>786</v>
      </c>
      <c r="C10" s="5" t="s">
        <v>787</v>
      </c>
      <c r="D10" s="5" t="s">
        <v>119</v>
      </c>
      <c r="E10" s="5" t="s">
        <v>788</v>
      </c>
      <c r="F10" s="5" t="s">
        <v>789</v>
      </c>
      <c r="G10" s="5" t="s">
        <v>790</v>
      </c>
      <c r="H10" s="5" t="s">
        <v>791</v>
      </c>
    </row>
    <row r="11" spans="1:8" ht="23.85">
      <c r="A11" s="5" t="s">
        <v>792</v>
      </c>
      <c r="B11" s="12" t="s">
        <v>786</v>
      </c>
      <c r="C11" s="5" t="s">
        <v>793</v>
      </c>
      <c r="D11" s="5" t="s">
        <v>119</v>
      </c>
      <c r="E11" s="5" t="s">
        <v>788</v>
      </c>
      <c r="F11" s="5" t="s">
        <v>794</v>
      </c>
      <c r="G11" s="5" t="s">
        <v>761</v>
      </c>
      <c r="H11" s="5" t="s">
        <v>791</v>
      </c>
    </row>
  </sheetData>
  <autoFilter ref="A1:H11" xr:uid="{00000000-0009-0000-0000-00000F000000}"/>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6"/>
  <sheetViews>
    <sheetView zoomScaleNormal="100" workbookViewId="0">
      <pane ySplit="1" topLeftCell="A2" activePane="bottomLeft" state="frozen"/>
      <selection pane="bottomLeft"/>
    </sheetView>
  </sheetViews>
  <sheetFormatPr defaultColWidth="8.7109375" defaultRowHeight="15"/>
  <cols>
    <col min="1" max="1" width="30" customWidth="1"/>
    <col min="2" max="2" width="50" customWidth="1"/>
    <col min="3" max="3" width="14" customWidth="1"/>
    <col min="4" max="4" width="16" customWidth="1"/>
    <col min="5" max="5" width="30" customWidth="1"/>
  </cols>
  <sheetData>
    <row r="1" spans="1:5">
      <c r="A1" s="4" t="s">
        <v>795</v>
      </c>
      <c r="B1" s="4" t="s">
        <v>796</v>
      </c>
      <c r="C1" s="4" t="s">
        <v>797</v>
      </c>
      <c r="D1" s="4" t="s">
        <v>46</v>
      </c>
      <c r="E1" s="4" t="s">
        <v>753</v>
      </c>
    </row>
    <row r="2" spans="1:5" ht="23.85">
      <c r="A2" s="5" t="s">
        <v>798</v>
      </c>
      <c r="B2" s="5" t="s">
        <v>799</v>
      </c>
      <c r="C2" s="5" t="s">
        <v>800</v>
      </c>
      <c r="D2" s="5" t="s">
        <v>801</v>
      </c>
      <c r="E2" s="5" t="s">
        <v>761</v>
      </c>
    </row>
    <row r="3" spans="1:5" ht="23.85">
      <c r="A3" s="5" t="s">
        <v>798</v>
      </c>
      <c r="B3" s="5" t="s">
        <v>802</v>
      </c>
      <c r="C3" s="5" t="s">
        <v>800</v>
      </c>
      <c r="D3" s="5" t="s">
        <v>801</v>
      </c>
      <c r="E3" s="5" t="s">
        <v>761</v>
      </c>
    </row>
    <row r="4" spans="1:5" ht="23.85">
      <c r="A4" s="5" t="s">
        <v>803</v>
      </c>
      <c r="B4" s="5" t="s">
        <v>804</v>
      </c>
      <c r="C4" s="5" t="s">
        <v>800</v>
      </c>
      <c r="D4" s="5" t="s">
        <v>801</v>
      </c>
      <c r="E4" s="5" t="s">
        <v>780</v>
      </c>
    </row>
    <row r="5" spans="1:5" ht="23.85">
      <c r="A5" s="5" t="s">
        <v>805</v>
      </c>
      <c r="B5" s="5" t="s">
        <v>806</v>
      </c>
      <c r="C5" s="5" t="s">
        <v>800</v>
      </c>
      <c r="D5" s="5" t="s">
        <v>801</v>
      </c>
      <c r="E5" s="5" t="s">
        <v>807</v>
      </c>
    </row>
    <row r="6" spans="1:5" ht="23.85">
      <c r="A6" s="5" t="s">
        <v>808</v>
      </c>
      <c r="B6" s="5" t="s">
        <v>809</v>
      </c>
      <c r="C6" s="5" t="s">
        <v>800</v>
      </c>
      <c r="D6" s="5" t="s">
        <v>801</v>
      </c>
      <c r="E6" s="5" t="s">
        <v>59</v>
      </c>
    </row>
    <row r="7" spans="1:5" ht="23.85">
      <c r="A7" s="5" t="s">
        <v>810</v>
      </c>
      <c r="B7" s="5" t="s">
        <v>811</v>
      </c>
      <c r="C7" s="5" t="s">
        <v>800</v>
      </c>
      <c r="D7" s="5" t="s">
        <v>801</v>
      </c>
      <c r="E7" s="5" t="s">
        <v>780</v>
      </c>
    </row>
    <row r="8" spans="1:5" ht="23.85">
      <c r="A8" s="5" t="s">
        <v>812</v>
      </c>
      <c r="B8" s="5" t="s">
        <v>813</v>
      </c>
      <c r="C8" s="5" t="s">
        <v>800</v>
      </c>
      <c r="D8" s="5" t="s">
        <v>801</v>
      </c>
      <c r="E8" s="5" t="s">
        <v>680</v>
      </c>
    </row>
    <row r="9" spans="1:5" ht="23.85">
      <c r="A9" s="5" t="s">
        <v>814</v>
      </c>
      <c r="B9" s="5" t="s">
        <v>815</v>
      </c>
      <c r="C9" s="5" t="s">
        <v>800</v>
      </c>
      <c r="D9" s="5" t="s">
        <v>801</v>
      </c>
      <c r="E9" s="5" t="s">
        <v>780</v>
      </c>
    </row>
    <row r="10" spans="1:5" ht="23.85">
      <c r="A10" s="5" t="s">
        <v>816</v>
      </c>
      <c r="B10" s="5" t="s">
        <v>817</v>
      </c>
      <c r="C10" s="5" t="s">
        <v>800</v>
      </c>
      <c r="D10" s="5" t="s">
        <v>801</v>
      </c>
      <c r="E10" s="5" t="s">
        <v>680</v>
      </c>
    </row>
    <row r="11" spans="1:5" ht="23.85">
      <c r="A11" s="5" t="s">
        <v>818</v>
      </c>
      <c r="B11" s="5" t="s">
        <v>819</v>
      </c>
      <c r="C11" s="5" t="s">
        <v>800</v>
      </c>
      <c r="D11" s="5" t="s">
        <v>801</v>
      </c>
      <c r="E11" s="5" t="s">
        <v>59</v>
      </c>
    </row>
    <row r="12" spans="1:5">
      <c r="A12" s="5" t="s">
        <v>820</v>
      </c>
      <c r="B12" s="5" t="s">
        <v>821</v>
      </c>
      <c r="C12" s="5" t="s">
        <v>800</v>
      </c>
      <c r="D12" s="5" t="s">
        <v>801</v>
      </c>
      <c r="E12" s="5" t="s">
        <v>761</v>
      </c>
    </row>
    <row r="13" spans="1:5" ht="23.85">
      <c r="A13" s="5" t="s">
        <v>822</v>
      </c>
      <c r="B13" s="5" t="s">
        <v>823</v>
      </c>
      <c r="C13" s="5" t="s">
        <v>800</v>
      </c>
      <c r="D13" s="5" t="s">
        <v>801</v>
      </c>
      <c r="E13" s="5" t="s">
        <v>761</v>
      </c>
    </row>
    <row r="14" spans="1:5" ht="23.85">
      <c r="A14" s="5" t="s">
        <v>824</v>
      </c>
      <c r="B14" s="5" t="s">
        <v>825</v>
      </c>
      <c r="C14" s="5" t="s">
        <v>800</v>
      </c>
      <c r="D14" s="5" t="s">
        <v>801</v>
      </c>
      <c r="E14" s="5" t="s">
        <v>768</v>
      </c>
    </row>
    <row r="15" spans="1:5" ht="23.85">
      <c r="A15" s="5" t="s">
        <v>826</v>
      </c>
      <c r="B15" s="5" t="s">
        <v>827</v>
      </c>
      <c r="C15" s="5" t="s">
        <v>800</v>
      </c>
      <c r="D15" s="5" t="s">
        <v>801</v>
      </c>
      <c r="E15" s="5" t="s">
        <v>680</v>
      </c>
    </row>
    <row r="16" spans="1:5" ht="23.85">
      <c r="A16" s="5" t="s">
        <v>828</v>
      </c>
      <c r="B16" s="5" t="s">
        <v>829</v>
      </c>
      <c r="C16" s="5" t="s">
        <v>800</v>
      </c>
      <c r="D16" s="5" t="s">
        <v>801</v>
      </c>
      <c r="E16" s="5" t="s">
        <v>790</v>
      </c>
    </row>
  </sheetData>
  <autoFilter ref="A1:E16" xr:uid="{00000000-0009-0000-0000-000010000000}"/>
  <dataValidations count="1">
    <dataValidation type="list" sqref="D2:D16" xr:uid="{00000000-0002-0000-1000-000000000000}">
      <formula1>"Not Started,In Progress,Complete,Blocked"</formula1>
      <formula2>0</formula2>
    </dataValidation>
  </dataValidation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13"/>
  <sheetViews>
    <sheetView zoomScaleNormal="100" workbookViewId="0">
      <pane ySplit="1" topLeftCell="A2" activePane="bottomLeft" state="frozen"/>
      <selection pane="bottomLeft"/>
    </sheetView>
  </sheetViews>
  <sheetFormatPr defaultColWidth="8.7109375" defaultRowHeight="15"/>
  <cols>
    <col min="1" max="1" width="22" customWidth="1"/>
    <col min="2" max="2" width="56" customWidth="1"/>
    <col min="3" max="3" width="16" customWidth="1"/>
    <col min="4" max="4" width="28" customWidth="1"/>
  </cols>
  <sheetData>
    <row r="1" spans="1:4">
      <c r="A1" s="4" t="s">
        <v>590</v>
      </c>
      <c r="B1" s="4" t="s">
        <v>796</v>
      </c>
      <c r="C1" s="4" t="s">
        <v>46</v>
      </c>
      <c r="D1" s="4" t="s">
        <v>753</v>
      </c>
    </row>
    <row r="2" spans="1:4">
      <c r="A2" s="5" t="s">
        <v>830</v>
      </c>
      <c r="B2" s="5" t="s">
        <v>831</v>
      </c>
      <c r="C2" s="5" t="s">
        <v>801</v>
      </c>
      <c r="D2" s="5" t="s">
        <v>780</v>
      </c>
    </row>
    <row r="3" spans="1:4">
      <c r="A3" s="5" t="s">
        <v>830</v>
      </c>
      <c r="B3" s="5" t="s">
        <v>832</v>
      </c>
      <c r="C3" s="5" t="s">
        <v>801</v>
      </c>
      <c r="D3" s="5" t="s">
        <v>780</v>
      </c>
    </row>
    <row r="4" spans="1:4">
      <c r="A4" s="5" t="s">
        <v>833</v>
      </c>
      <c r="B4" s="5" t="s">
        <v>834</v>
      </c>
      <c r="C4" s="5" t="s">
        <v>801</v>
      </c>
      <c r="D4" s="5" t="s">
        <v>780</v>
      </c>
    </row>
    <row r="5" spans="1:4">
      <c r="A5" s="5" t="s">
        <v>833</v>
      </c>
      <c r="B5" s="5" t="s">
        <v>835</v>
      </c>
      <c r="C5" s="5" t="s">
        <v>801</v>
      </c>
      <c r="D5" s="5" t="s">
        <v>680</v>
      </c>
    </row>
    <row r="6" spans="1:4" ht="23.85">
      <c r="A6" s="5" t="s">
        <v>836</v>
      </c>
      <c r="B6" s="5" t="s">
        <v>837</v>
      </c>
      <c r="C6" s="5" t="s">
        <v>801</v>
      </c>
      <c r="D6" s="5" t="s">
        <v>59</v>
      </c>
    </row>
    <row r="7" spans="1:4" ht="23.85">
      <c r="A7" s="5" t="s">
        <v>838</v>
      </c>
      <c r="B7" s="5" t="s">
        <v>839</v>
      </c>
      <c r="C7" s="5" t="s">
        <v>801</v>
      </c>
      <c r="D7" s="5" t="s">
        <v>59</v>
      </c>
    </row>
    <row r="8" spans="1:4" ht="23.85">
      <c r="A8" s="5" t="s">
        <v>840</v>
      </c>
      <c r="B8" s="5" t="s">
        <v>841</v>
      </c>
      <c r="C8" s="5" t="s">
        <v>801</v>
      </c>
      <c r="D8" s="5" t="s">
        <v>680</v>
      </c>
    </row>
    <row r="9" spans="1:4">
      <c r="A9" s="5" t="s">
        <v>840</v>
      </c>
      <c r="B9" s="5" t="s">
        <v>842</v>
      </c>
      <c r="C9" s="5" t="s">
        <v>801</v>
      </c>
      <c r="D9" s="5" t="s">
        <v>807</v>
      </c>
    </row>
    <row r="10" spans="1:4">
      <c r="A10" s="5" t="s">
        <v>843</v>
      </c>
      <c r="B10" s="5" t="s">
        <v>844</v>
      </c>
      <c r="C10" s="5" t="s">
        <v>801</v>
      </c>
      <c r="D10" s="5" t="s">
        <v>680</v>
      </c>
    </row>
    <row r="11" spans="1:4">
      <c r="A11" s="5" t="s">
        <v>845</v>
      </c>
      <c r="B11" s="5" t="s">
        <v>846</v>
      </c>
      <c r="C11" s="5" t="s">
        <v>801</v>
      </c>
      <c r="D11" s="5" t="s">
        <v>761</v>
      </c>
    </row>
    <row r="12" spans="1:4" ht="23.85">
      <c r="A12" s="5" t="s">
        <v>847</v>
      </c>
      <c r="B12" s="5" t="s">
        <v>848</v>
      </c>
      <c r="C12" s="5" t="s">
        <v>801</v>
      </c>
      <c r="D12" s="5" t="s">
        <v>761</v>
      </c>
    </row>
    <row r="13" spans="1:4">
      <c r="A13" s="5" t="s">
        <v>849</v>
      </c>
      <c r="B13" s="5" t="s">
        <v>850</v>
      </c>
      <c r="C13" s="5" t="s">
        <v>801</v>
      </c>
      <c r="D13" s="5" t="s">
        <v>768</v>
      </c>
    </row>
  </sheetData>
  <autoFilter ref="A1:D13" xr:uid="{00000000-0009-0000-0000-000011000000}"/>
  <dataValidations count="1">
    <dataValidation type="list" sqref="C2:C13" xr:uid="{00000000-0002-0000-1100-000000000000}">
      <formula1>"Not Started,In Progress,Complete,Blocked"</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Guest User</cp:lastModifiedBy>
  <cp:revision>0</cp:revision>
  <dcterms:created xsi:type="dcterms:W3CDTF">2026-08-18T06:55:09Z</dcterms:created>
  <dcterms:modified xsi:type="dcterms:W3CDTF">2026-08-18T23:15:25Z</dcterms:modified>
  <cp:category/>
  <cp:contentStatus/>
</cp:coreProperties>
</file>